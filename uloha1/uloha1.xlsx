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6967D11-4DA6-4ACF-9F13-D041778FDB5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L33" i="1" a="1"/>
  <c r="L33" i="1"/>
  <c r="J33" i="1" a="1"/>
  <c r="J33" i="1"/>
  <c r="H33" i="1" a="1"/>
  <c r="H33" i="1"/>
  <c r="F33" i="1" a="1"/>
  <c r="F33" i="1"/>
  <c r="H17" i="1" a="1"/>
  <c r="H17" i="1"/>
  <c r="F17" i="1" a="1"/>
  <c r="F17" i="1"/>
  <c r="E10" i="1"/>
  <c r="F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<sst xmlns="http://schemas.openxmlformats.org/spreadsheetml/2006/main" count="73" uniqueCount="39">
  <si>
    <t>1. Měření skutečné citlivosti přípravku</t>
  </si>
  <si>
    <t>Nastavená citlivost</t>
  </si>
  <si>
    <t>OZ</t>
  </si>
  <si>
    <t>DP</t>
  </si>
  <si>
    <t>U1 [mV]</t>
  </si>
  <si>
    <t>10 mV</t>
  </si>
  <si>
    <t>100 mV</t>
  </si>
  <si>
    <t>1 V</t>
  </si>
  <si>
    <t>10 V</t>
  </si>
  <si>
    <t>2. Měření modulové kmitočtové charakteristiky</t>
  </si>
  <si>
    <t>frekvence</t>
  </si>
  <si>
    <t>f [Hz]</t>
  </si>
  <si>
    <t>U2 [V]</t>
  </si>
  <si>
    <t>AU [dB]</t>
  </si>
  <si>
    <t xml:space="preserve">U1 = </t>
  </si>
  <si>
    <t>mV</t>
  </si>
  <si>
    <t>3. Měření modulové kmitočtové charakteristiky frekvenřních korekcí</t>
  </si>
  <si>
    <t>V</t>
  </si>
  <si>
    <t>RIAA</t>
  </si>
  <si>
    <t>Fyziologická korekce</t>
  </si>
  <si>
    <t>Zdůraznění řeči</t>
  </si>
  <si>
    <t>Rock preset</t>
  </si>
  <si>
    <t>5. Měření impedance přípravku</t>
  </si>
  <si>
    <t>Zapojení</t>
  </si>
  <si>
    <t>Vstupní odpor</t>
  </si>
  <si>
    <t>kOhm</t>
  </si>
  <si>
    <t>6. Určete přebuditelnost přípravku</t>
  </si>
  <si>
    <t xml:space="preserve">U2limOZ = </t>
  </si>
  <si>
    <t>U2jmen =</t>
  </si>
  <si>
    <t xml:space="preserve">U2limDP = </t>
  </si>
  <si>
    <t>POZ =</t>
  </si>
  <si>
    <t>dB</t>
  </si>
  <si>
    <t>PDP =</t>
  </si>
  <si>
    <t>7. Měření harmonického zkreslení vstupního zesilovače</t>
  </si>
  <si>
    <t>Zesílení</t>
  </si>
  <si>
    <t>U2 [mV]</t>
  </si>
  <si>
    <t>k2 [%]</t>
  </si>
  <si>
    <t>k3 [%]</t>
  </si>
  <si>
    <t>THD+N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</si>
</sst>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Sheet1!$D$17:$D$27</c:f>
              <c:numCache>
                <c:formatCode>General</c:formatCode>
                <c:ptCount val="11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  <c:pt idx="9">
                  <c:v>15000</c:v>
                </c:pt>
                <c:pt idx="10">
                  <c:v>20000</c:v>
                </c:pt>
              </c:numCache>
            </c:numRef>
          </c:xVal>
          <c:yVal>
            <c:numRef>
              <c:f>Sheet1!$F$17:$F$27</c:f>
              <c:numCache>
                <c:formatCode>0.00</c:formatCode>
                <c:ptCount val="11"/>
                <c:pt idx="0">
                  <c:v>19.771179137572311</c:v>
                </c:pt>
                <c:pt idx="1">
                  <c:v>19.806777095752029</c:v>
                </c:pt>
                <c:pt idx="2">
                  <c:v>19.938984969907622</c:v>
                </c:pt>
                <c:pt idx="3">
                  <c:v>19.95646161491451</c:v>
                </c:pt>
                <c:pt idx="4">
                  <c:v>19.991309764519649</c:v>
                </c:pt>
                <c:pt idx="5">
                  <c:v>20</c:v>
                </c:pt>
                <c:pt idx="6">
                  <c:v>20</c:v>
                </c:pt>
                <c:pt idx="7">
                  <c:v>19.806777095752029</c:v>
                </c:pt>
                <c:pt idx="8">
                  <c:v>19.209415550685979</c:v>
                </c:pt>
                <c:pt idx="9">
                  <c:v>18.286863142388817</c:v>
                </c:pt>
                <c:pt idx="10">
                  <c:v>17.134577807657653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08-4800-8408-2830350E10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Sheet1!$D$17:$D$27</c:f>
              <c:numCache>
                <c:formatCode>General</c:formatCode>
                <c:ptCount val="11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  <c:pt idx="8">
                  <c:v>10000</c:v>
                </c:pt>
                <c:pt idx="9">
                  <c:v>15000</c:v>
                </c:pt>
                <c:pt idx="10">
                  <c:v>20000</c:v>
                </c:pt>
              </c:numCache>
            </c:numRef>
          </c:xVal>
          <c:yVal>
            <c:numRef>
              <c:f>Sheet1!$H$17:$H$27</c:f>
              <c:numCache>
                <c:formatCode>0.00</c:formatCode>
                <c:ptCount val="11"/>
                <c:pt idx="0">
                  <c:v>18.339600946407643</c:v>
                </c:pt>
                <c:pt idx="1">
                  <c:v>19.104130750838834</c:v>
                </c:pt>
                <c:pt idx="2">
                  <c:v>19.406937524601865</c:v>
                </c:pt>
                <c:pt idx="3">
                  <c:v>19.627310181570891</c:v>
                </c:pt>
                <c:pt idx="4">
                  <c:v>19.921473089705508</c:v>
                </c:pt>
                <c:pt idx="5">
                  <c:v>20</c:v>
                </c:pt>
                <c:pt idx="6">
                  <c:v>20</c:v>
                </c:pt>
                <c:pt idx="7">
                  <c:v>19.95646161491451</c:v>
                </c:pt>
                <c:pt idx="8">
                  <c:v>19.726475541015308</c:v>
                </c:pt>
                <c:pt idx="9">
                  <c:v>19.341594682889941</c:v>
                </c:pt>
                <c:pt idx="10">
                  <c:v>18.840161060446267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08-4800-8408-2830350E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191751"/>
        <c:axId val="1140193799"/>
      </c:scatterChart>
      <c:valAx>
        <c:axId val="1140191751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93799"/>
        <c:crosses val="autoZero"/>
        <c:crossBetween val="midCat"/>
      </c:valAx>
      <c:valAx>
        <c:axId val="1140193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191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Sheet1!$D$33:$D$48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</c:numCache>
            </c:numRef>
          </c:xVal>
          <c:yVal>
            <c:numRef>
              <c:f>Sheet1!$F$33:$F$48</c:f>
              <c:numCache>
                <c:formatCode>0.00</c:formatCode>
                <c:ptCount val="16"/>
                <c:pt idx="0">
                  <c:v>39.190367539459963</c:v>
                </c:pt>
                <c:pt idx="1">
                  <c:v>38.567917045134273</c:v>
                </c:pt>
                <c:pt idx="2">
                  <c:v>37.122488884846007</c:v>
                </c:pt>
                <c:pt idx="3">
                  <c:v>35.51948662258738</c:v>
                </c:pt>
                <c:pt idx="4">
                  <c:v>33.38633761132224</c:v>
                </c:pt>
                <c:pt idx="5">
                  <c:v>28.562695880575774</c:v>
                </c:pt>
                <c:pt idx="6">
                  <c:v>25.84512142712952</c:v>
                </c:pt>
                <c:pt idx="7">
                  <c:v>22.984382253107597</c:v>
                </c:pt>
                <c:pt idx="8">
                  <c:v>21.583624920952495</c:v>
                </c:pt>
                <c:pt idx="9">
                  <c:v>20.340666785975607</c:v>
                </c:pt>
                <c:pt idx="10">
                  <c:v>17.627693135411455</c:v>
                </c:pt>
                <c:pt idx="11">
                  <c:v>15.417040232842883</c:v>
                </c:pt>
                <c:pt idx="12">
                  <c:v>11.798992026514155</c:v>
                </c:pt>
                <c:pt idx="13">
                  <c:v>9.0049821663872205</c:v>
                </c:pt>
                <c:pt idx="14">
                  <c:v>5.6660245740709918</c:v>
                </c:pt>
                <c:pt idx="15">
                  <c:v>-2.2251807863421491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C-4077-B7C4-1E8DF8DBF26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Sheet1!$D$33:$D$48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</c:numCache>
            </c:numRef>
          </c:xVal>
          <c:yVal>
            <c:numRef>
              <c:f>Sheet1!$H$33:$H$48</c:f>
              <c:numCache>
                <c:formatCode>0.00</c:formatCode>
                <c:ptCount val="16"/>
                <c:pt idx="0">
                  <c:v>40.256744494103444</c:v>
                </c:pt>
                <c:pt idx="1">
                  <c:v>39.350959524377238</c:v>
                </c:pt>
                <c:pt idx="2">
                  <c:v>37.218732414001877</c:v>
                </c:pt>
                <c:pt idx="3">
                  <c:v>35.223516263114625</c:v>
                </c:pt>
                <c:pt idx="4">
                  <c:v>32.769785139092747</c:v>
                </c:pt>
                <c:pt idx="5">
                  <c:v>27.531539141130239</c:v>
                </c:pt>
                <c:pt idx="6">
                  <c:v>24.659922207843078</c:v>
                </c:pt>
                <c:pt idx="7">
                  <c:v>21.727196613494964</c:v>
                </c:pt>
                <c:pt idx="8">
                  <c:v>20.587675553704194</c:v>
                </c:pt>
                <c:pt idx="9">
                  <c:v>20.256744494103444</c:v>
                </c:pt>
                <c:pt idx="10">
                  <c:v>22.345425913115285</c:v>
                </c:pt>
                <c:pt idx="11">
                  <c:v>24.810984965651993</c:v>
                </c:pt>
                <c:pt idx="12">
                  <c:v>28.497632732621341</c:v>
                </c:pt>
                <c:pt idx="13">
                  <c:v>30.980065240515756</c:v>
                </c:pt>
                <c:pt idx="14">
                  <c:v>33.460418142577922</c:v>
                </c:pt>
                <c:pt idx="15">
                  <c:v>36.901960800285138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CC-4077-B7C4-1E8DF8DBF26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Sheet1!$D$33:$D$48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</c:numCache>
            </c:numRef>
          </c:xVal>
          <c:yVal>
            <c:numRef>
              <c:f>Sheet1!$J$33:$J$48</c:f>
              <c:numCache>
                <c:formatCode>0.00</c:formatCode>
                <c:ptCount val="16"/>
                <c:pt idx="0">
                  <c:v>-12.505033079797922</c:v>
                </c:pt>
                <c:pt idx="1">
                  <c:v>-8.8981110284336182</c:v>
                </c:pt>
                <c:pt idx="2">
                  <c:v>-4.4805133774126187</c:v>
                </c:pt>
                <c:pt idx="3">
                  <c:v>-1.5662704903279587</c:v>
                </c:pt>
                <c:pt idx="4">
                  <c:v>1.5109392278506149</c:v>
                </c:pt>
                <c:pt idx="5">
                  <c:v>7.5315391411302386</c:v>
                </c:pt>
                <c:pt idx="6">
                  <c:v>11.028999959457501</c:v>
                </c:pt>
                <c:pt idx="7">
                  <c:v>15.32825694224799</c:v>
                </c:pt>
                <c:pt idx="8">
                  <c:v>18.072650321684755</c:v>
                </c:pt>
                <c:pt idx="9">
                  <c:v>20.827853703164504</c:v>
                </c:pt>
                <c:pt idx="10">
                  <c:v>25.057060619597863</c:v>
                </c:pt>
                <c:pt idx="11">
                  <c:v>26.319406909138351</c:v>
                </c:pt>
                <c:pt idx="12">
                  <c:v>26.063921148409776</c:v>
                </c:pt>
                <c:pt idx="13">
                  <c:v>24.710568938150978</c:v>
                </c:pt>
                <c:pt idx="14">
                  <c:v>22.345425913115285</c:v>
                </c:pt>
                <c:pt idx="15">
                  <c:v>15.268559871258745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CC-4077-B7C4-1E8DF8DBF26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Sheet1!$D$33:$D$48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100</c:v>
                </c:pt>
                <c:pt idx="5">
                  <c:v>200</c:v>
                </c:pt>
                <c:pt idx="6">
                  <c:v>300</c:v>
                </c:pt>
                <c:pt idx="7">
                  <c:v>500</c:v>
                </c:pt>
                <c:pt idx="8">
                  <c:v>700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5000</c:v>
                </c:pt>
                <c:pt idx="13">
                  <c:v>7000</c:v>
                </c:pt>
                <c:pt idx="14">
                  <c:v>10000</c:v>
                </c:pt>
                <c:pt idx="15">
                  <c:v>20000</c:v>
                </c:pt>
              </c:numCache>
            </c:numRef>
          </c:xVal>
          <c:yVal>
            <c:numRef>
              <c:f>Sheet1!$L$33:$L$48</c:f>
              <c:numCache>
                <c:formatCode>0.00</c:formatCode>
                <c:ptCount val="16"/>
                <c:pt idx="0">
                  <c:v>19.788996353333836</c:v>
                </c:pt>
                <c:pt idx="1">
                  <c:v>19.590967494081902</c:v>
                </c:pt>
                <c:pt idx="2">
                  <c:v>19.171277664439348</c:v>
                </c:pt>
                <c:pt idx="3">
                  <c:v>18.578153804879051</c:v>
                </c:pt>
                <c:pt idx="4">
                  <c:v>17.478031957289225</c:v>
                </c:pt>
                <c:pt idx="5">
                  <c:v>14.948236157728465</c:v>
                </c:pt>
                <c:pt idx="6">
                  <c:v>15.620738772422635</c:v>
                </c:pt>
                <c:pt idx="7">
                  <c:v>17.908450920788159</c:v>
                </c:pt>
                <c:pt idx="8">
                  <c:v>18.987800132898258</c:v>
                </c:pt>
                <c:pt idx="9">
                  <c:v>19.672525742490691</c:v>
                </c:pt>
                <c:pt idx="10">
                  <c:v>20.172003435238352</c:v>
                </c:pt>
                <c:pt idx="11">
                  <c:v>20.256744494103444</c:v>
                </c:pt>
                <c:pt idx="12">
                  <c:v>20.172003435238352</c:v>
                </c:pt>
                <c:pt idx="13">
                  <c:v>20</c:v>
                </c:pt>
                <c:pt idx="14">
                  <c:v>19.627310181570888</c:v>
                </c:pt>
                <c:pt idx="15">
                  <c:v>17.593384112641072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CC-4077-B7C4-1E8DF8DBF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439495"/>
        <c:axId val="349441543"/>
      </c:scatterChart>
      <c:valAx>
        <c:axId val="349439495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41543"/>
        <c:crosses val="autoZero"/>
        <c:crossBetween val="midCat"/>
      </c:valAx>
      <c:valAx>
        <c:axId val="349441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439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11</xdr:row>
      <xdr:rowOff>47625</xdr:rowOff>
    </xdr:from>
    <xdr:to>
      <xdr:col>22</xdr:col>
      <xdr:colOff>352425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29441-E2AD-49B1-0BA6-719200388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190500</xdr:colOff>
      <xdr:row>29</xdr:row>
      <xdr:rowOff>47625</xdr:rowOff>
    </xdr:from>
    <xdr:to>
      <xdr:col>23</xdr:col>
      <xdr:colOff>266700</xdr:colOff>
      <xdr:row>49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892D60-7485-03DA-F21E-F6CD0DAFFD67}"/>
            </a:ext>
            <a:ext uri="{147F2762-F138-4A5C-976F-8EAC2B608ADB}">
              <a16:predDERef xmlns:a16="http://schemas.microsoft.com/office/drawing/2014/main" pred="{81E29441-E2AD-49B1-0BA6-719200388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topLeftCell="A52" workbookViewId="0">
      <selection activeCell="F61" sqref="F61"/>
    </sheetView>
  </sheetViews>
  <sheetFormatPr defaultRowHeight="15"/>
  <cols>
    <col min="4" max="4" width="10.140625" customWidth="1"/>
    <col min="5" max="5" width="11.7109375" customWidth="1"/>
    <col min="6" max="6" width="11.42578125" customWidth="1"/>
  </cols>
  <sheetData>
    <row r="1" spans="1:12">
      <c r="A1" s="1"/>
    </row>
    <row r="3" spans="1:12">
      <c r="C3" t="s">
        <v>0</v>
      </c>
    </row>
    <row r="5" spans="1:12">
      <c r="D5" s="5" t="s">
        <v>1</v>
      </c>
      <c r="E5" s="2" t="s">
        <v>2</v>
      </c>
      <c r="F5" s="2" t="s">
        <v>3</v>
      </c>
    </row>
    <row r="6" spans="1:12">
      <c r="D6" s="5"/>
      <c r="E6" s="2" t="s">
        <v>4</v>
      </c>
      <c r="F6" s="2" t="s">
        <v>4</v>
      </c>
    </row>
    <row r="7" spans="1:12">
      <c r="D7" s="2" t="s">
        <v>5</v>
      </c>
      <c r="E7" s="2">
        <v>9.8000000000000007</v>
      </c>
      <c r="F7" s="2">
        <v>9.1999999999999993</v>
      </c>
    </row>
    <row r="8" spans="1:12">
      <c r="D8" s="2" t="s">
        <v>6</v>
      </c>
      <c r="E8" s="2">
        <v>100</v>
      </c>
      <c r="F8" s="2">
        <v>94</v>
      </c>
    </row>
    <row r="9" spans="1:12">
      <c r="D9" s="2" t="s">
        <v>7</v>
      </c>
      <c r="E9" s="2">
        <v>990</v>
      </c>
      <c r="F9" s="2">
        <v>928</v>
      </c>
    </row>
    <row r="10" spans="1:12">
      <c r="D10" s="2" t="s">
        <v>8</v>
      </c>
      <c r="E10" s="2">
        <f>4930*2</f>
        <v>9860</v>
      </c>
      <c r="F10" s="2">
        <f>4610*2</f>
        <v>9220</v>
      </c>
    </row>
    <row r="12" spans="1:12">
      <c r="C12" t="s">
        <v>9</v>
      </c>
    </row>
    <row r="15" spans="1:12">
      <c r="D15" t="s">
        <v>10</v>
      </c>
      <c r="E15" s="4" t="s">
        <v>2</v>
      </c>
      <c r="F15" s="4"/>
      <c r="G15" s="4" t="s">
        <v>3</v>
      </c>
      <c r="H15" s="4"/>
    </row>
    <row r="16" spans="1:12">
      <c r="D16" t="s">
        <v>11</v>
      </c>
      <c r="E16" t="s">
        <v>12</v>
      </c>
      <c r="F16" t="s">
        <v>13</v>
      </c>
      <c r="G16" t="s">
        <v>12</v>
      </c>
      <c r="H16" t="s">
        <v>13</v>
      </c>
      <c r="J16" t="s">
        <v>14</v>
      </c>
      <c r="K16">
        <v>100</v>
      </c>
      <c r="L16" t="s">
        <v>15</v>
      </c>
    </row>
    <row r="17" spans="3:12">
      <c r="D17">
        <v>20</v>
      </c>
      <c r="E17">
        <v>974</v>
      </c>
      <c r="F17" s="3" cm="1">
        <f t="array" ref="F17:F27">20*LOG(E17:E27/K16)</f>
        <v>19.771179137572311</v>
      </c>
      <c r="G17">
        <v>826</v>
      </c>
      <c r="H17" s="3" cm="1">
        <f t="array" ref="H17:H27">20*LOG(G17:G27/K16)</f>
        <v>18.339600946407643</v>
      </c>
    </row>
    <row r="18" spans="3:12">
      <c r="D18">
        <v>30</v>
      </c>
      <c r="E18">
        <v>978</v>
      </c>
      <c r="F18" s="3">
        <v>19.806777095752029</v>
      </c>
      <c r="G18">
        <v>902</v>
      </c>
      <c r="H18" s="3">
        <v>19.104130750838834</v>
      </c>
    </row>
    <row r="19" spans="3:12">
      <c r="D19">
        <v>40</v>
      </c>
      <c r="E19">
        <v>993</v>
      </c>
      <c r="F19" s="3">
        <v>19.938984969907622</v>
      </c>
      <c r="G19">
        <v>934</v>
      </c>
      <c r="H19" s="3">
        <v>19.406937524601865</v>
      </c>
    </row>
    <row r="20" spans="3:12">
      <c r="D20">
        <v>50</v>
      </c>
      <c r="E20">
        <v>995</v>
      </c>
      <c r="F20" s="3">
        <v>19.95646161491451</v>
      </c>
      <c r="G20">
        <v>958</v>
      </c>
      <c r="H20" s="3">
        <v>19.627310181570891</v>
      </c>
    </row>
    <row r="21" spans="3:12">
      <c r="D21">
        <v>100</v>
      </c>
      <c r="E21">
        <v>999</v>
      </c>
      <c r="F21" s="3">
        <v>19.991309764519649</v>
      </c>
      <c r="G21">
        <v>991</v>
      </c>
      <c r="H21" s="3">
        <v>19.921473089705508</v>
      </c>
    </row>
    <row r="22" spans="3:12">
      <c r="D22">
        <v>500</v>
      </c>
      <c r="E22">
        <v>1000</v>
      </c>
      <c r="F22" s="3">
        <v>20</v>
      </c>
      <c r="G22">
        <v>1000</v>
      </c>
      <c r="H22" s="3">
        <v>20</v>
      </c>
    </row>
    <row r="23" spans="3:12">
      <c r="D23">
        <v>1000</v>
      </c>
      <c r="E23">
        <v>1000</v>
      </c>
      <c r="F23" s="3">
        <v>20</v>
      </c>
      <c r="G23">
        <v>1000</v>
      </c>
      <c r="H23" s="3">
        <v>20</v>
      </c>
    </row>
    <row r="24" spans="3:12">
      <c r="D24">
        <v>5000</v>
      </c>
      <c r="E24">
        <v>978</v>
      </c>
      <c r="F24" s="3">
        <v>19.806777095752029</v>
      </c>
      <c r="G24">
        <v>995</v>
      </c>
      <c r="H24" s="3">
        <v>19.95646161491451</v>
      </c>
    </row>
    <row r="25" spans="3:12">
      <c r="D25">
        <v>10000</v>
      </c>
      <c r="E25">
        <v>913</v>
      </c>
      <c r="F25" s="3">
        <v>19.209415550685979</v>
      </c>
      <c r="G25">
        <v>969</v>
      </c>
      <c r="H25" s="3">
        <v>19.726475541015308</v>
      </c>
    </row>
    <row r="26" spans="3:12">
      <c r="D26">
        <v>15000</v>
      </c>
      <c r="E26">
        <v>821</v>
      </c>
      <c r="F26" s="3">
        <v>18.286863142388817</v>
      </c>
      <c r="G26">
        <v>927</v>
      </c>
      <c r="H26" s="3">
        <v>19.341594682889941</v>
      </c>
    </row>
    <row r="27" spans="3:12">
      <c r="D27">
        <v>20000</v>
      </c>
      <c r="E27">
        <v>719</v>
      </c>
      <c r="F27" s="3">
        <v>17.134577807657653</v>
      </c>
      <c r="G27">
        <v>875</v>
      </c>
      <c r="H27" s="3">
        <v>18.840161060446267</v>
      </c>
    </row>
    <row r="29" spans="3:12">
      <c r="C29" t="s">
        <v>16</v>
      </c>
      <c r="J29" t="s">
        <v>14</v>
      </c>
      <c r="K29">
        <v>0.1</v>
      </c>
      <c r="L29" t="s">
        <v>17</v>
      </c>
    </row>
    <row r="31" spans="3:12">
      <c r="D31" t="s">
        <v>10</v>
      </c>
      <c r="E31" s="4" t="s">
        <v>18</v>
      </c>
      <c r="F31" s="4"/>
      <c r="G31" s="4" t="s">
        <v>19</v>
      </c>
      <c r="H31" s="4"/>
      <c r="I31" s="4" t="s">
        <v>20</v>
      </c>
      <c r="J31" s="4"/>
      <c r="K31" s="4" t="s">
        <v>21</v>
      </c>
      <c r="L31" s="4"/>
    </row>
    <row r="32" spans="3:12">
      <c r="D32" t="s">
        <v>11</v>
      </c>
      <c r="E32" t="s">
        <v>12</v>
      </c>
      <c r="F32" t="s">
        <v>13</v>
      </c>
      <c r="G32" t="s">
        <v>12</v>
      </c>
      <c r="H32" t="s">
        <v>13</v>
      </c>
      <c r="I32" t="s">
        <v>12</v>
      </c>
      <c r="J32" t="s">
        <v>13</v>
      </c>
      <c r="K32" t="s">
        <v>12</v>
      </c>
      <c r="L32" t="s">
        <v>13</v>
      </c>
    </row>
    <row r="33" spans="4:12">
      <c r="D33">
        <v>20</v>
      </c>
      <c r="E33" s="3">
        <v>9.11</v>
      </c>
      <c r="F33" s="3" cm="1">
        <f t="array" ref="F33:F48">20*LOG(E33:E48/K29)</f>
        <v>39.190367539459963</v>
      </c>
      <c r="G33" s="3">
        <v>10.3</v>
      </c>
      <c r="H33" s="3" cm="1">
        <f t="array" ref="H33:H48">20*LOG(G33:G48/K29)</f>
        <v>40.256744494103444</v>
      </c>
      <c r="I33" s="3">
        <v>2.3699999999999999E-2</v>
      </c>
      <c r="J33" s="3" cm="1">
        <f t="array" ref="J33:J48">20*LOG(I33:I48/K29)</f>
        <v>-12.505033079797922</v>
      </c>
      <c r="K33" s="3">
        <v>0.97599999999999998</v>
      </c>
      <c r="L33" s="3" cm="1">
        <f t="array" ref="L33:L48">20*LOG(K33:K48/K29)</f>
        <v>19.788996353333836</v>
      </c>
    </row>
    <row r="34" spans="4:12">
      <c r="D34">
        <v>30</v>
      </c>
      <c r="E34" s="3">
        <v>8.48</v>
      </c>
      <c r="F34" s="3">
        <v>38.567917045134273</v>
      </c>
      <c r="G34" s="3">
        <v>9.2799999999999994</v>
      </c>
      <c r="H34" s="3">
        <v>39.350959524377238</v>
      </c>
      <c r="I34" s="3">
        <v>3.5900000000000001E-2</v>
      </c>
      <c r="J34" s="3">
        <v>-8.8981110284336182</v>
      </c>
      <c r="K34" s="3">
        <v>0.95399999999999996</v>
      </c>
      <c r="L34" s="3">
        <v>19.590967494081902</v>
      </c>
    </row>
    <row r="35" spans="4:12">
      <c r="D35">
        <v>50</v>
      </c>
      <c r="E35" s="3">
        <v>7.18</v>
      </c>
      <c r="F35" s="3">
        <v>37.122488884846007</v>
      </c>
      <c r="G35" s="3">
        <v>7.26</v>
      </c>
      <c r="H35" s="3">
        <v>37.218732414001877</v>
      </c>
      <c r="I35" s="3">
        <v>5.9700000000000003E-2</v>
      </c>
      <c r="J35" s="3">
        <v>-4.4805133774126187</v>
      </c>
      <c r="K35" s="3">
        <v>0.90900000000000003</v>
      </c>
      <c r="L35" s="3">
        <v>19.171277664439348</v>
      </c>
    </row>
    <row r="36" spans="4:12">
      <c r="D36">
        <v>70</v>
      </c>
      <c r="E36" s="3">
        <v>5.97</v>
      </c>
      <c r="F36" s="3">
        <v>35.51948662258738</v>
      </c>
      <c r="G36" s="3">
        <v>5.77</v>
      </c>
      <c r="H36" s="3">
        <v>35.223516263114625</v>
      </c>
      <c r="I36" s="3">
        <v>8.3500000000000005E-2</v>
      </c>
      <c r="J36" s="3">
        <v>-1.5662704903279587</v>
      </c>
      <c r="K36" s="3">
        <v>0.84899999999999998</v>
      </c>
      <c r="L36" s="3">
        <v>18.578153804879051</v>
      </c>
    </row>
    <row r="37" spans="4:12">
      <c r="D37">
        <v>100</v>
      </c>
      <c r="E37" s="3">
        <v>4.67</v>
      </c>
      <c r="F37" s="3">
        <v>33.38633761132224</v>
      </c>
      <c r="G37" s="3">
        <v>4.3499999999999996</v>
      </c>
      <c r="H37" s="3">
        <v>32.769785139092747</v>
      </c>
      <c r="I37" s="3">
        <v>0.11899999999999999</v>
      </c>
      <c r="J37" s="3">
        <v>1.5109392278506149</v>
      </c>
      <c r="K37" s="3">
        <v>0.748</v>
      </c>
      <c r="L37" s="3">
        <v>17.478031957289225</v>
      </c>
    </row>
    <row r="38" spans="4:12">
      <c r="D38">
        <v>200</v>
      </c>
      <c r="E38" s="3">
        <v>2.68</v>
      </c>
      <c r="F38" s="3">
        <v>28.562695880575774</v>
      </c>
      <c r="G38" s="3">
        <v>2.38</v>
      </c>
      <c r="H38" s="3">
        <v>27.531539141130239</v>
      </c>
      <c r="I38" s="3">
        <v>0.23799999999999999</v>
      </c>
      <c r="J38" s="3">
        <v>7.5315391411302386</v>
      </c>
      <c r="K38" s="3">
        <v>0.55900000000000005</v>
      </c>
      <c r="L38" s="3">
        <v>14.948236157728465</v>
      </c>
    </row>
    <row r="39" spans="4:12">
      <c r="D39">
        <v>300</v>
      </c>
      <c r="E39" s="3">
        <v>1.96</v>
      </c>
      <c r="F39" s="3">
        <v>25.84512142712952</v>
      </c>
      <c r="G39" s="3">
        <v>1.71</v>
      </c>
      <c r="H39" s="3">
        <v>24.659922207843078</v>
      </c>
      <c r="I39" s="3">
        <v>0.35599999999999998</v>
      </c>
      <c r="J39" s="3">
        <v>11.028999959457501</v>
      </c>
      <c r="K39" s="3">
        <v>0.60399999999999998</v>
      </c>
      <c r="L39" s="3">
        <v>15.620738772422635</v>
      </c>
    </row>
    <row r="40" spans="4:12">
      <c r="D40">
        <v>500</v>
      </c>
      <c r="E40" s="3">
        <v>1.41</v>
      </c>
      <c r="F40" s="3">
        <v>22.984382253107597</v>
      </c>
      <c r="G40" s="3">
        <v>1.22</v>
      </c>
      <c r="H40" s="3">
        <v>21.727196613494964</v>
      </c>
      <c r="I40" s="3">
        <v>0.58399999999999996</v>
      </c>
      <c r="J40" s="3">
        <v>15.32825694224799</v>
      </c>
      <c r="K40" s="3">
        <v>0.78600000000000003</v>
      </c>
      <c r="L40" s="3">
        <v>17.908450920788159</v>
      </c>
    </row>
    <row r="41" spans="4:12">
      <c r="D41">
        <v>700</v>
      </c>
      <c r="E41" s="3">
        <v>1.2</v>
      </c>
      <c r="F41" s="3">
        <v>21.583624920952495</v>
      </c>
      <c r="G41" s="3">
        <v>1.07</v>
      </c>
      <c r="H41" s="3">
        <v>20.587675553704194</v>
      </c>
      <c r="I41" s="3">
        <v>0.80100000000000005</v>
      </c>
      <c r="J41" s="3">
        <v>18.072650321684755</v>
      </c>
      <c r="K41" s="3">
        <v>0.89</v>
      </c>
      <c r="L41" s="3">
        <v>18.987800132898258</v>
      </c>
    </row>
    <row r="42" spans="4:12">
      <c r="D42">
        <v>1000</v>
      </c>
      <c r="E42" s="3">
        <v>1.04</v>
      </c>
      <c r="F42" s="3">
        <v>20.340666785975607</v>
      </c>
      <c r="G42" s="3">
        <v>1.03</v>
      </c>
      <c r="H42" s="3">
        <v>20.256744494103444</v>
      </c>
      <c r="I42" s="3">
        <v>1.1000000000000001</v>
      </c>
      <c r="J42" s="3">
        <v>20.827853703164504</v>
      </c>
      <c r="K42" s="3">
        <v>0.96299999999999997</v>
      </c>
      <c r="L42" s="3">
        <v>19.672525742490691</v>
      </c>
    </row>
    <row r="43" spans="4:12">
      <c r="D43">
        <v>2000</v>
      </c>
      <c r="E43" s="3">
        <v>0.76100000000000001</v>
      </c>
      <c r="F43" s="3">
        <v>17.627693135411455</v>
      </c>
      <c r="G43" s="3">
        <v>1.31</v>
      </c>
      <c r="H43" s="3">
        <v>22.345425913115285</v>
      </c>
      <c r="I43" s="3">
        <v>1.79</v>
      </c>
      <c r="J43" s="3">
        <v>25.057060619597863</v>
      </c>
      <c r="K43" s="3">
        <v>1.02</v>
      </c>
      <c r="L43" s="3">
        <v>20.172003435238352</v>
      </c>
    </row>
    <row r="44" spans="4:12">
      <c r="D44">
        <v>3000</v>
      </c>
      <c r="E44" s="3">
        <v>0.59</v>
      </c>
      <c r="F44" s="3">
        <v>15.417040232842883</v>
      </c>
      <c r="G44" s="3">
        <v>1.74</v>
      </c>
      <c r="H44" s="3">
        <v>24.810984965651993</v>
      </c>
      <c r="I44" s="3">
        <v>2.0699999999999998</v>
      </c>
      <c r="J44" s="3">
        <v>26.319406909138351</v>
      </c>
      <c r="K44" s="3">
        <v>1.03</v>
      </c>
      <c r="L44" s="3">
        <v>20.256744494103444</v>
      </c>
    </row>
    <row r="45" spans="4:12">
      <c r="D45">
        <v>5000</v>
      </c>
      <c r="E45" s="3">
        <v>0.38900000000000001</v>
      </c>
      <c r="F45" s="3">
        <v>11.798992026514155</v>
      </c>
      <c r="G45" s="3">
        <v>2.66</v>
      </c>
      <c r="H45" s="3">
        <v>28.497632732621341</v>
      </c>
      <c r="I45" s="3">
        <v>2.0099999999999998</v>
      </c>
      <c r="J45" s="3">
        <v>26.063921148409776</v>
      </c>
      <c r="K45" s="3">
        <v>1.02</v>
      </c>
      <c r="L45" s="3">
        <v>20.172003435238352</v>
      </c>
    </row>
    <row r="46" spans="4:12">
      <c r="D46">
        <v>7000</v>
      </c>
      <c r="E46" s="3">
        <v>0.28199999999999997</v>
      </c>
      <c r="F46" s="3">
        <v>9.0049821663872205</v>
      </c>
      <c r="G46" s="3">
        <v>3.54</v>
      </c>
      <c r="H46" s="3">
        <v>30.980065240515756</v>
      </c>
      <c r="I46" s="3">
        <v>1.72</v>
      </c>
      <c r="J46" s="3">
        <v>24.710568938150978</v>
      </c>
      <c r="K46" s="3">
        <v>1</v>
      </c>
      <c r="L46" s="3">
        <v>20</v>
      </c>
    </row>
    <row r="47" spans="4:12">
      <c r="D47">
        <v>10000</v>
      </c>
      <c r="E47" s="3">
        <v>0.192</v>
      </c>
      <c r="F47" s="3">
        <v>5.6660245740709918</v>
      </c>
      <c r="G47" s="3">
        <v>4.71</v>
      </c>
      <c r="H47" s="3">
        <v>33.460418142577922</v>
      </c>
      <c r="I47" s="3">
        <v>1.31</v>
      </c>
      <c r="J47" s="3">
        <v>22.345425913115285</v>
      </c>
      <c r="K47" s="3">
        <v>0.95799999999999996</v>
      </c>
      <c r="L47" s="3">
        <v>19.627310181570888</v>
      </c>
    </row>
    <row r="48" spans="4:12">
      <c r="D48">
        <v>20000</v>
      </c>
      <c r="E48" s="3">
        <v>7.7399999999999997E-2</v>
      </c>
      <c r="F48" s="3">
        <v>-2.2251807863421491</v>
      </c>
      <c r="G48" s="3">
        <v>7</v>
      </c>
      <c r="H48" s="3">
        <v>36.901960800285138</v>
      </c>
      <c r="I48" s="3">
        <v>0.57999999999999996</v>
      </c>
      <c r="J48" s="3">
        <v>15.268559871258745</v>
      </c>
      <c r="K48" s="3">
        <v>0.75800000000000001</v>
      </c>
      <c r="L48" s="3">
        <v>17.593384112641072</v>
      </c>
    </row>
    <row r="51" spans="3:10">
      <c r="C51" t="s">
        <v>22</v>
      </c>
    </row>
    <row r="53" spans="3:10">
      <c r="D53" t="s">
        <v>23</v>
      </c>
      <c r="E53" t="s">
        <v>24</v>
      </c>
    </row>
    <row r="54" spans="3:10">
      <c r="D54" t="s">
        <v>2</v>
      </c>
      <c r="E54">
        <v>10</v>
      </c>
      <c r="F54" t="s">
        <v>25</v>
      </c>
    </row>
    <row r="55" spans="3:10">
      <c r="D55" t="s">
        <v>3</v>
      </c>
      <c r="E55">
        <v>9</v>
      </c>
      <c r="F55" t="s">
        <v>25</v>
      </c>
    </row>
    <row r="57" spans="3:10">
      <c r="C57" t="s">
        <v>26</v>
      </c>
    </row>
    <row r="59" spans="3:10">
      <c r="D59" t="s">
        <v>27</v>
      </c>
      <c r="E59">
        <v>10.199999999999999</v>
      </c>
      <c r="F59" t="s">
        <v>17</v>
      </c>
      <c r="H59" t="s">
        <v>28</v>
      </c>
      <c r="I59">
        <v>1</v>
      </c>
      <c r="J59" t="s">
        <v>17</v>
      </c>
    </row>
    <row r="60" spans="3:10">
      <c r="D60" t="s">
        <v>29</v>
      </c>
      <c r="E60">
        <v>3.52</v>
      </c>
      <c r="F60" t="s">
        <v>17</v>
      </c>
    </row>
    <row r="62" spans="3:10">
      <c r="D62" t="s">
        <v>30</v>
      </c>
      <c r="E62" s="3">
        <f>20*LOG(E59/I59)</f>
        <v>20.172003435238352</v>
      </c>
      <c r="F62" t="s">
        <v>31</v>
      </c>
    </row>
    <row r="63" spans="3:10">
      <c r="D63" t="s">
        <v>32</v>
      </c>
      <c r="E63" s="3">
        <f>20*LOG(E60/I59)</f>
        <v>10.930853269562622</v>
      </c>
      <c r="F63" t="s">
        <v>31</v>
      </c>
    </row>
    <row r="65" spans="3:9">
      <c r="C65" t="s">
        <v>33</v>
      </c>
    </row>
    <row r="68" spans="3:9">
      <c r="D68" t="s">
        <v>34</v>
      </c>
      <c r="E68" t="s">
        <v>4</v>
      </c>
      <c r="F68" t="s">
        <v>35</v>
      </c>
      <c r="G68" t="s">
        <v>36</v>
      </c>
      <c r="H68" t="s">
        <v>37</v>
      </c>
      <c r="I68" t="s">
        <v>38</v>
      </c>
    </row>
    <row r="69" spans="3:9">
      <c r="D69" t="s">
        <v>3</v>
      </c>
      <c r="E69">
        <v>25</v>
      </c>
      <c r="F69">
        <v>267</v>
      </c>
      <c r="G69">
        <v>0.13100000000000001</v>
      </c>
      <c r="H69">
        <v>5.0000000000000001E-3</v>
      </c>
      <c r="I69">
        <v>0.26400000000000001</v>
      </c>
    </row>
    <row r="70" spans="3:9">
      <c r="D70" t="s">
        <v>3</v>
      </c>
      <c r="E70">
        <v>75</v>
      </c>
      <c r="F70">
        <v>802</v>
      </c>
      <c r="G70">
        <v>0.4</v>
      </c>
      <c r="H70">
        <v>2.1000000000000001E-2</v>
      </c>
      <c r="I70">
        <v>0.40799999999999997</v>
      </c>
    </row>
    <row r="71" spans="3:9">
      <c r="D71" t="s">
        <v>3</v>
      </c>
      <c r="E71">
        <v>200</v>
      </c>
      <c r="F71">
        <v>2.12</v>
      </c>
      <c r="G71">
        <v>1.0620000000000001</v>
      </c>
      <c r="H71">
        <v>7.6999999999999999E-2</v>
      </c>
      <c r="I71">
        <v>1.0720000000000001</v>
      </c>
    </row>
    <row r="72" spans="3:9">
      <c r="D72" t="s">
        <v>3</v>
      </c>
      <c r="E72">
        <v>336</v>
      </c>
      <c r="F72">
        <v>3520</v>
      </c>
      <c r="G72">
        <v>2.0489999999999999</v>
      </c>
      <c r="H72">
        <v>0.879</v>
      </c>
      <c r="I72">
        <v>2.4460000000000002</v>
      </c>
    </row>
    <row r="73" spans="3:9">
      <c r="D73" t="s">
        <v>3</v>
      </c>
      <c r="E73">
        <v>500</v>
      </c>
      <c r="F73">
        <v>4530</v>
      </c>
      <c r="G73">
        <v>11.08</v>
      </c>
      <c r="H73">
        <v>8.4480000000000004</v>
      </c>
      <c r="I73">
        <v>19.5</v>
      </c>
    </row>
    <row r="74" spans="3:9">
      <c r="D74" t="s">
        <v>2</v>
      </c>
      <c r="E74">
        <v>50</v>
      </c>
      <c r="F74">
        <v>500</v>
      </c>
      <c r="G74">
        <v>4.0000000000000001E-3</v>
      </c>
      <c r="H74">
        <v>2E-3</v>
      </c>
      <c r="I74">
        <v>0.121</v>
      </c>
    </row>
    <row r="75" spans="3:9">
      <c r="D75" t="s">
        <v>2</v>
      </c>
      <c r="E75">
        <v>100</v>
      </c>
      <c r="F75">
        <v>1000</v>
      </c>
      <c r="G75">
        <v>4.0000000000000001E-3</v>
      </c>
      <c r="H75">
        <v>3.0000000000000001E-3</v>
      </c>
      <c r="I75">
        <v>0.122</v>
      </c>
    </row>
    <row r="76" spans="3:9">
      <c r="D76" t="s">
        <v>2</v>
      </c>
      <c r="E76">
        <v>500</v>
      </c>
      <c r="F76">
        <v>5000</v>
      </c>
      <c r="G76">
        <v>6.0000000000000001E-3</v>
      </c>
      <c r="H76">
        <v>3.0000000000000001E-3</v>
      </c>
      <c r="I76">
        <v>2.1999999999999999E-2</v>
      </c>
    </row>
    <row r="77" spans="3:9">
      <c r="D77" t="s">
        <v>2</v>
      </c>
      <c r="E77">
        <v>1023</v>
      </c>
      <c r="F77">
        <v>10200</v>
      </c>
      <c r="G77">
        <v>8.2000000000000003E-2</v>
      </c>
      <c r="H77">
        <v>6.7000000000000004E-2</v>
      </c>
      <c r="I77">
        <v>0.16700000000000001</v>
      </c>
    </row>
    <row r="78" spans="3:9">
      <c r="D78" t="s">
        <v>2</v>
      </c>
      <c r="E78">
        <v>1500</v>
      </c>
      <c r="F78">
        <v>12100</v>
      </c>
      <c r="G78">
        <v>0.36899999999999999</v>
      </c>
      <c r="H78">
        <v>13.62</v>
      </c>
      <c r="I78">
        <v>16.600000000000001</v>
      </c>
    </row>
  </sheetData>
  <mergeCells count="7">
    <mergeCell ref="K31:L31"/>
    <mergeCell ref="D5:D6"/>
    <mergeCell ref="E15:F15"/>
    <mergeCell ref="G15:H15"/>
    <mergeCell ref="E31:F31"/>
    <mergeCell ref="G31:H31"/>
    <mergeCell ref="I31:J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2026-04-21T09:10:40Z</dcterms:created>
  <dcterms:modified xsi:type="dcterms:W3CDTF">2026-04-21T22:00:06Z</dcterms:modified>
  <cp:category/>
  <cp:contentStatus/>
</cp:coreProperties>
</file>