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3E432681-9A8F-4816-92BA-065D9E0361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 a="1"/>
  <c r="L10" i="1"/>
  <c r="J10" i="1" a="1"/>
  <c r="J10" i="1"/>
  <c r="H10" i="1" a="1"/>
  <c r="H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<sst xmlns="http://schemas.openxmlformats.org/spreadsheetml/2006/main" count="18" uniqueCount="12">
  <si>
    <t>1. Měření modulových kmitočtových charakteristik</t>
  </si>
  <si>
    <t>f (Hz)</t>
  </si>
  <si>
    <t>Au (dB)</t>
  </si>
  <si>
    <t>stopa</t>
  </si>
  <si>
    <t>U1 (mV)</t>
  </si>
  <si>
    <t>U21 (mV)</t>
  </si>
  <si>
    <t>A1 (dB)</t>
  </si>
  <si>
    <t>U22 (mV)</t>
  </si>
  <si>
    <t>A2 (dB)</t>
  </si>
  <si>
    <t>U23 (mV)</t>
  </si>
  <si>
    <t>A3 (dB)</t>
  </si>
  <si>
    <t>3. Měření převodních charakteristik pro různé nastavení křivky limiteru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</si>
</sst>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Sheet1!$E$10:$E$25</c:f>
              <c:numCache>
                <c:formatCode>General</c:formatCode>
                <c:ptCount val="16"/>
                <c:pt idx="0">
                  <c:v>20</c:v>
                </c:pt>
                <c:pt idx="1">
                  <c:v>31.5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  <c:pt idx="5">
                  <c:v>200</c:v>
                </c:pt>
                <c:pt idx="6">
                  <c:v>315</c:v>
                </c:pt>
                <c:pt idx="7">
                  <c:v>500</c:v>
                </c:pt>
                <c:pt idx="8">
                  <c:v>800</c:v>
                </c:pt>
                <c:pt idx="9">
                  <c:v>1250</c:v>
                </c:pt>
                <c:pt idx="10">
                  <c:v>2000</c:v>
                </c:pt>
                <c:pt idx="11">
                  <c:v>3150</c:v>
                </c:pt>
                <c:pt idx="12">
                  <c:v>5000</c:v>
                </c:pt>
                <c:pt idx="13">
                  <c:v>8000</c:v>
                </c:pt>
                <c:pt idx="14">
                  <c:v>12500</c:v>
                </c:pt>
                <c:pt idx="15">
                  <c:v>20000</c:v>
                </c:pt>
              </c:numCache>
            </c:numRef>
          </c:xVal>
          <c:yVal>
            <c:numRef>
              <c:f>Sheet1!$H$10:$H$25</c:f>
              <c:numCache>
                <c:formatCode>0.00</c:formatCode>
                <c:ptCount val="16"/>
                <c:pt idx="0">
                  <c:v>-1.0445208174057983</c:v>
                </c:pt>
                <c:pt idx="1">
                  <c:v>0.7580470961288216</c:v>
                </c:pt>
                <c:pt idx="2">
                  <c:v>3.1427888589140278</c:v>
                </c:pt>
                <c:pt idx="3">
                  <c:v>3.2489475677827007</c:v>
                </c:pt>
                <c:pt idx="4">
                  <c:v>3.3661434975707261</c:v>
                </c:pt>
                <c:pt idx="5">
                  <c:v>4.5172765470638501</c:v>
                </c:pt>
                <c:pt idx="6">
                  <c:v>3.1161725875912643</c:v>
                </c:pt>
                <c:pt idx="7">
                  <c:v>3.0169041969602612</c:v>
                </c:pt>
                <c:pt idx="8">
                  <c:v>-0.26391846902133315</c:v>
                </c:pt>
                <c:pt idx="9">
                  <c:v>-1.1223188395786279</c:v>
                </c:pt>
                <c:pt idx="10">
                  <c:v>-1.4290391902142983</c:v>
                </c:pt>
                <c:pt idx="11">
                  <c:v>-1.5655104417320167</c:v>
                </c:pt>
                <c:pt idx="12">
                  <c:v>-1.6321646354416881</c:v>
                </c:pt>
                <c:pt idx="13">
                  <c:v>-1.6594847012952783</c:v>
                </c:pt>
                <c:pt idx="14">
                  <c:v>-1.6353048247644191</c:v>
                </c:pt>
                <c:pt idx="15">
                  <c:v>-1.7796772086853963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4-4398-B7C5-BAD5B7739F2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Sheet1!$E$10:$E$25</c:f>
              <c:numCache>
                <c:formatCode>General</c:formatCode>
                <c:ptCount val="16"/>
                <c:pt idx="0">
                  <c:v>20</c:v>
                </c:pt>
                <c:pt idx="1">
                  <c:v>31.5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  <c:pt idx="5">
                  <c:v>200</c:v>
                </c:pt>
                <c:pt idx="6">
                  <c:v>315</c:v>
                </c:pt>
                <c:pt idx="7">
                  <c:v>500</c:v>
                </c:pt>
                <c:pt idx="8">
                  <c:v>800</c:v>
                </c:pt>
                <c:pt idx="9">
                  <c:v>1250</c:v>
                </c:pt>
                <c:pt idx="10">
                  <c:v>2000</c:v>
                </c:pt>
                <c:pt idx="11">
                  <c:v>3150</c:v>
                </c:pt>
                <c:pt idx="12">
                  <c:v>5000</c:v>
                </c:pt>
                <c:pt idx="13">
                  <c:v>8000</c:v>
                </c:pt>
                <c:pt idx="14">
                  <c:v>12500</c:v>
                </c:pt>
                <c:pt idx="15">
                  <c:v>20000</c:v>
                </c:pt>
              </c:numCache>
            </c:numRef>
          </c:xVal>
          <c:yVal>
            <c:numRef>
              <c:f>Sheet1!$J$10:$J$25</c:f>
              <c:numCache>
                <c:formatCode>0.00</c:formatCode>
                <c:ptCount val="16"/>
                <c:pt idx="0">
                  <c:v>-2.1970894044482843</c:v>
                </c:pt>
                <c:pt idx="1">
                  <c:v>-1.963274358670446</c:v>
                </c:pt>
                <c:pt idx="2">
                  <c:v>-1.7539774762143425</c:v>
                </c:pt>
                <c:pt idx="3">
                  <c:v>-1.6195170779675263</c:v>
                </c:pt>
                <c:pt idx="4">
                  <c:v>-1.4915379194350586</c:v>
                </c:pt>
                <c:pt idx="5">
                  <c:v>-1.5460584567921856</c:v>
                </c:pt>
                <c:pt idx="6">
                  <c:v>-1.3844355804596484</c:v>
                </c:pt>
                <c:pt idx="7">
                  <c:v>-1.4306440037790575</c:v>
                </c:pt>
                <c:pt idx="8">
                  <c:v>-1.2305556250570635</c:v>
                </c:pt>
                <c:pt idx="9">
                  <c:v>-0.36138513151202251</c:v>
                </c:pt>
                <c:pt idx="10">
                  <c:v>1.5701688537561707</c:v>
                </c:pt>
                <c:pt idx="11">
                  <c:v>3.8945149995427357</c:v>
                </c:pt>
                <c:pt idx="12">
                  <c:v>2.6189503720999778</c:v>
                </c:pt>
                <c:pt idx="13">
                  <c:v>3.6468041666536557</c:v>
                </c:pt>
                <c:pt idx="14">
                  <c:v>1.8568503372754233</c:v>
                </c:pt>
                <c:pt idx="15">
                  <c:v>-1.4287987793593731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C4-4398-B7C5-BAD5B7739F2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Sheet1!$E$10:$E$25</c:f>
              <c:numCache>
                <c:formatCode>General</c:formatCode>
                <c:ptCount val="16"/>
                <c:pt idx="0">
                  <c:v>20</c:v>
                </c:pt>
                <c:pt idx="1">
                  <c:v>31.5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  <c:pt idx="5">
                  <c:v>200</c:v>
                </c:pt>
                <c:pt idx="6">
                  <c:v>315</c:v>
                </c:pt>
                <c:pt idx="7">
                  <c:v>500</c:v>
                </c:pt>
                <c:pt idx="8">
                  <c:v>800</c:v>
                </c:pt>
                <c:pt idx="9">
                  <c:v>1250</c:v>
                </c:pt>
                <c:pt idx="10">
                  <c:v>2000</c:v>
                </c:pt>
                <c:pt idx="11">
                  <c:v>3150</c:v>
                </c:pt>
                <c:pt idx="12">
                  <c:v>5000</c:v>
                </c:pt>
                <c:pt idx="13">
                  <c:v>8000</c:v>
                </c:pt>
                <c:pt idx="14">
                  <c:v>12500</c:v>
                </c:pt>
                <c:pt idx="15">
                  <c:v>20000</c:v>
                </c:pt>
              </c:numCache>
            </c:numRef>
          </c:xVal>
          <c:yVal>
            <c:numRef>
              <c:f>Sheet1!$L$10:$L$25</c:f>
              <c:numCache>
                <c:formatCode>0.00</c:formatCode>
                <c:ptCount val="16"/>
                <c:pt idx="0">
                  <c:v>-2.1738650867669298</c:v>
                </c:pt>
                <c:pt idx="1">
                  <c:v>-1.9177387910095498</c:v>
                </c:pt>
                <c:pt idx="2">
                  <c:v>-1.6883407182456265</c:v>
                </c:pt>
                <c:pt idx="3">
                  <c:v>-1.4803686118984372</c:v>
                </c:pt>
                <c:pt idx="4">
                  <c:v>-1.1429995389628664</c:v>
                </c:pt>
                <c:pt idx="5">
                  <c:v>-0.48856606765829924</c:v>
                </c:pt>
                <c:pt idx="6">
                  <c:v>1.9726213925212501</c:v>
                </c:pt>
                <c:pt idx="7">
                  <c:v>3.6288395487956491</c:v>
                </c:pt>
                <c:pt idx="8">
                  <c:v>3.6787587668838411</c:v>
                </c:pt>
                <c:pt idx="9">
                  <c:v>3.1161725875912643</c:v>
                </c:pt>
                <c:pt idx="10">
                  <c:v>2.3359095298989718</c:v>
                </c:pt>
                <c:pt idx="11">
                  <c:v>3.6597469341178539</c:v>
                </c:pt>
                <c:pt idx="12">
                  <c:v>0.55553088937710515</c:v>
                </c:pt>
                <c:pt idx="13">
                  <c:v>-0.979326614005675</c:v>
                </c:pt>
                <c:pt idx="14">
                  <c:v>-1.4159525202781098</c:v>
                </c:pt>
                <c:pt idx="15">
                  <c:v>-1.7335981104941101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C4-4398-B7C5-BAD5B7739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06791"/>
        <c:axId val="303612935"/>
      </c:scatterChart>
      <c:valAx>
        <c:axId val="303606791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12935"/>
        <c:crosses val="autoZero"/>
        <c:crossBetween val="midCat"/>
      </c:valAx>
      <c:valAx>
        <c:axId val="30361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06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Sheet1!$E$31:$E$35</c:f>
              <c:numCache>
                <c:formatCode>General</c:formatCode>
                <c:ptCount val="5"/>
                <c:pt idx="0">
                  <c:v>1790</c:v>
                </c:pt>
                <c:pt idx="1">
                  <c:v>1430</c:v>
                </c:pt>
                <c:pt idx="2">
                  <c:v>1008</c:v>
                </c:pt>
                <c:pt idx="3">
                  <c:v>637</c:v>
                </c:pt>
                <c:pt idx="4">
                  <c:v>201</c:v>
                </c:pt>
              </c:numCache>
            </c:numRef>
          </c:xVal>
          <c:yVal>
            <c:numRef>
              <c:f>Sheet1!$F$31:$F$35</c:f>
              <c:numCache>
                <c:formatCode>General</c:formatCode>
                <c:ptCount val="5"/>
                <c:pt idx="0">
                  <c:v>1480</c:v>
                </c:pt>
                <c:pt idx="1">
                  <c:v>1184</c:v>
                </c:pt>
                <c:pt idx="2">
                  <c:v>841</c:v>
                </c:pt>
                <c:pt idx="3">
                  <c:v>543</c:v>
                </c:pt>
                <c:pt idx="4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5-49FC-85AB-45D04C3877F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Sheet1!$E$31:$E$35</c:f>
              <c:numCache>
                <c:formatCode>General</c:formatCode>
                <c:ptCount val="5"/>
                <c:pt idx="0">
                  <c:v>1790</c:v>
                </c:pt>
                <c:pt idx="1">
                  <c:v>1430</c:v>
                </c:pt>
                <c:pt idx="2">
                  <c:v>1008</c:v>
                </c:pt>
                <c:pt idx="3">
                  <c:v>637</c:v>
                </c:pt>
                <c:pt idx="4">
                  <c:v>201</c:v>
                </c:pt>
              </c:numCache>
            </c:numRef>
          </c:xVal>
          <c:yVal>
            <c:numRef>
              <c:f>Sheet1!$G$31:$G$35</c:f>
              <c:numCache>
                <c:formatCode>General</c:formatCode>
                <c:ptCount val="5"/>
                <c:pt idx="0">
                  <c:v>599</c:v>
                </c:pt>
                <c:pt idx="1">
                  <c:v>569</c:v>
                </c:pt>
                <c:pt idx="2">
                  <c:v>465</c:v>
                </c:pt>
                <c:pt idx="3">
                  <c:v>384</c:v>
                </c:pt>
                <c:pt idx="4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15-49FC-85AB-45D04C3877F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Sheet1!$E$31:$E$35</c:f>
              <c:numCache>
                <c:formatCode>General</c:formatCode>
                <c:ptCount val="5"/>
                <c:pt idx="0">
                  <c:v>1790</c:v>
                </c:pt>
                <c:pt idx="1">
                  <c:v>1430</c:v>
                </c:pt>
                <c:pt idx="2">
                  <c:v>1008</c:v>
                </c:pt>
                <c:pt idx="3">
                  <c:v>637</c:v>
                </c:pt>
                <c:pt idx="4">
                  <c:v>201</c:v>
                </c:pt>
              </c:numCache>
            </c:numRef>
          </c:xVal>
          <c:yVal>
            <c:numRef>
              <c:f>Sheet1!$H$31:$H$35</c:f>
              <c:numCache>
                <c:formatCode>General</c:formatCode>
                <c:ptCount val="5"/>
                <c:pt idx="0">
                  <c:v>281</c:v>
                </c:pt>
                <c:pt idx="1">
                  <c:v>290</c:v>
                </c:pt>
                <c:pt idx="2">
                  <c:v>290</c:v>
                </c:pt>
                <c:pt idx="3">
                  <c:v>280</c:v>
                </c:pt>
                <c:pt idx="4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15-49FC-85AB-45D04C387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30887"/>
        <c:axId val="860732935"/>
      </c:scatterChart>
      <c:valAx>
        <c:axId val="860730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32935"/>
        <c:crosses val="autoZero"/>
        <c:crossBetween val="midCat"/>
      </c:valAx>
      <c:valAx>
        <c:axId val="86073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30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2</xdr:row>
      <xdr:rowOff>66675</xdr:rowOff>
    </xdr:from>
    <xdr:to>
      <xdr:col>23</xdr:col>
      <xdr:colOff>342900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06CCF-C18D-A4F0-BE44-87511FBA9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142875</xdr:colOff>
      <xdr:row>27</xdr:row>
      <xdr:rowOff>47625</xdr:rowOff>
    </xdr:from>
    <xdr:to>
      <xdr:col>17</xdr:col>
      <xdr:colOff>447675</xdr:colOff>
      <xdr:row>41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08A6A3-0C89-9834-DD7C-8E22983753AB}"/>
            </a:ext>
            <a:ext uri="{147F2762-F138-4A5C-976F-8EAC2B608ADB}">
              <a16:predDERef xmlns:a16="http://schemas.microsoft.com/office/drawing/2014/main" pred="{C3306CCF-C18D-A4F0-BE44-87511FBA9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35"/>
  <sheetViews>
    <sheetView tabSelected="1" workbookViewId="0">
      <selection activeCell="L20" sqref="L20"/>
    </sheetView>
  </sheetViews>
  <sheetFormatPr defaultRowHeight="15"/>
  <sheetData>
    <row r="3" spans="3:12">
      <c r="C3" t="s">
        <v>0</v>
      </c>
    </row>
    <row r="5" spans="3:12">
      <c r="D5" t="s">
        <v>1</v>
      </c>
      <c r="E5">
        <v>60</v>
      </c>
      <c r="F5">
        <v>180</v>
      </c>
      <c r="G5">
        <v>540</v>
      </c>
      <c r="H5">
        <v>1000</v>
      </c>
      <c r="I5">
        <v>3000</v>
      </c>
      <c r="J5">
        <v>7300</v>
      </c>
      <c r="K5">
        <v>15000</v>
      </c>
    </row>
    <row r="6" spans="3:12">
      <c r="D6" t="s">
        <v>2</v>
      </c>
      <c r="E6">
        <v>0</v>
      </c>
      <c r="F6">
        <v>0</v>
      </c>
      <c r="G6">
        <v>5</v>
      </c>
      <c r="H6">
        <v>5</v>
      </c>
      <c r="I6">
        <v>5</v>
      </c>
      <c r="J6">
        <v>0</v>
      </c>
      <c r="K6">
        <v>0</v>
      </c>
    </row>
    <row r="9" spans="3:12">
      <c r="D9" t="s">
        <v>3</v>
      </c>
      <c r="E9" t="s">
        <v>1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</row>
    <row r="10" spans="3:12">
      <c r="D10">
        <v>7</v>
      </c>
      <c r="E10">
        <v>20</v>
      </c>
      <c r="F10">
        <v>962</v>
      </c>
      <c r="G10">
        <v>853</v>
      </c>
      <c r="H10" s="1" cm="1">
        <f t="array" ref="H10:H25">20*LOG(G10:G25/F10:F25)</f>
        <v>-1.0445208174057983</v>
      </c>
      <c r="I10">
        <v>747</v>
      </c>
      <c r="J10" s="1" cm="1">
        <f t="array" ref="J10:J25">20*LOG(I10:I25/F10:F25)</f>
        <v>-2.1970894044482843</v>
      </c>
      <c r="K10">
        <v>749</v>
      </c>
      <c r="L10" s="1" cm="1">
        <f t="array" ref="L10:L25">20*LOG(K10:K25/F10:F25)</f>
        <v>-2.1738650867669298</v>
      </c>
    </row>
    <row r="11" spans="3:12">
      <c r="D11">
        <v>9</v>
      </c>
      <c r="E11">
        <v>31.5</v>
      </c>
      <c r="F11">
        <v>954</v>
      </c>
      <c r="G11">
        <v>1041</v>
      </c>
      <c r="H11" s="1">
        <v>0.7580470961288216</v>
      </c>
      <c r="I11">
        <v>761</v>
      </c>
      <c r="J11" s="1">
        <v>-1.963274358670446</v>
      </c>
      <c r="K11">
        <v>765</v>
      </c>
      <c r="L11" s="1">
        <v>-1.9177387910095498</v>
      </c>
    </row>
    <row r="12" spans="3:12">
      <c r="D12">
        <v>11</v>
      </c>
      <c r="E12">
        <v>50</v>
      </c>
      <c r="F12">
        <v>968</v>
      </c>
      <c r="G12">
        <v>1390</v>
      </c>
      <c r="H12" s="1">
        <v>3.1427888589140278</v>
      </c>
      <c r="I12">
        <v>791</v>
      </c>
      <c r="J12" s="1">
        <v>-1.7539774762143425</v>
      </c>
      <c r="K12">
        <v>797</v>
      </c>
      <c r="L12" s="1">
        <v>-1.6883407182456265</v>
      </c>
    </row>
    <row r="13" spans="3:12">
      <c r="D13">
        <v>13</v>
      </c>
      <c r="E13">
        <v>80</v>
      </c>
      <c r="F13">
        <v>970</v>
      </c>
      <c r="G13">
        <v>1410</v>
      </c>
      <c r="H13" s="1">
        <v>3.2489475677827007</v>
      </c>
      <c r="I13">
        <v>805</v>
      </c>
      <c r="J13" s="1">
        <v>-1.6195170779675263</v>
      </c>
      <c r="K13">
        <v>818</v>
      </c>
      <c r="L13" s="1">
        <v>-1.4803686118984372</v>
      </c>
    </row>
    <row r="14" spans="3:12">
      <c r="D14">
        <v>15</v>
      </c>
      <c r="E14">
        <v>125</v>
      </c>
      <c r="F14">
        <v>957</v>
      </c>
      <c r="G14">
        <v>1410</v>
      </c>
      <c r="H14" s="1">
        <v>3.3661434975707261</v>
      </c>
      <c r="I14">
        <v>806</v>
      </c>
      <c r="J14" s="1">
        <v>-1.4915379194350586</v>
      </c>
      <c r="K14">
        <v>839</v>
      </c>
      <c r="L14" s="1">
        <v>-1.1429995389628664</v>
      </c>
    </row>
    <row r="15" spans="3:12">
      <c r="D15">
        <v>17</v>
      </c>
      <c r="E15">
        <v>200</v>
      </c>
      <c r="F15">
        <v>969</v>
      </c>
      <c r="G15">
        <v>1630</v>
      </c>
      <c r="H15" s="1">
        <v>4.5172765470638501</v>
      </c>
      <c r="I15">
        <v>811</v>
      </c>
      <c r="J15" s="1">
        <v>-1.5460584567921856</v>
      </c>
      <c r="K15">
        <v>916</v>
      </c>
      <c r="L15" s="1">
        <v>-0.48856606765829924</v>
      </c>
    </row>
    <row r="16" spans="3:12">
      <c r="D16">
        <v>19</v>
      </c>
      <c r="E16">
        <v>315</v>
      </c>
      <c r="F16">
        <v>957</v>
      </c>
      <c r="G16">
        <v>1370</v>
      </c>
      <c r="H16" s="1">
        <v>3.1161725875912643</v>
      </c>
      <c r="I16">
        <v>816</v>
      </c>
      <c r="J16" s="1">
        <v>-1.3844355804596484</v>
      </c>
      <c r="K16">
        <v>1201</v>
      </c>
      <c r="L16" s="1">
        <v>1.9726213925212501</v>
      </c>
    </row>
    <row r="17" spans="3:12">
      <c r="D17">
        <v>21</v>
      </c>
      <c r="E17">
        <v>500</v>
      </c>
      <c r="F17">
        <v>968</v>
      </c>
      <c r="G17">
        <v>1370</v>
      </c>
      <c r="H17" s="1">
        <v>3.0169041969602612</v>
      </c>
      <c r="I17">
        <v>821</v>
      </c>
      <c r="J17" s="1">
        <v>-1.4306440037790575</v>
      </c>
      <c r="K17">
        <v>1470</v>
      </c>
      <c r="L17" s="1">
        <v>3.6288395487956491</v>
      </c>
    </row>
    <row r="18" spans="3:12">
      <c r="D18">
        <v>23</v>
      </c>
      <c r="E18">
        <v>800</v>
      </c>
      <c r="F18">
        <v>969</v>
      </c>
      <c r="G18">
        <v>940</v>
      </c>
      <c r="H18" s="1">
        <v>-0.26391846902133315</v>
      </c>
      <c r="I18">
        <v>841</v>
      </c>
      <c r="J18" s="1">
        <v>-1.2305556250570635</v>
      </c>
      <c r="K18">
        <v>1480</v>
      </c>
      <c r="L18" s="1">
        <v>3.6787587668838411</v>
      </c>
    </row>
    <row r="19" spans="3:12">
      <c r="D19">
        <v>25</v>
      </c>
      <c r="E19">
        <v>1250</v>
      </c>
      <c r="F19">
        <v>957</v>
      </c>
      <c r="G19">
        <v>841</v>
      </c>
      <c r="H19" s="1">
        <v>-1.1223188395786279</v>
      </c>
      <c r="I19">
        <v>918</v>
      </c>
      <c r="J19" s="1">
        <v>-0.36138513151202251</v>
      </c>
      <c r="K19">
        <v>1370</v>
      </c>
      <c r="L19" s="1">
        <v>3.1161725875912643</v>
      </c>
    </row>
    <row r="20" spans="3:12">
      <c r="D20">
        <v>27</v>
      </c>
      <c r="E20">
        <v>2000</v>
      </c>
      <c r="F20">
        <v>969</v>
      </c>
      <c r="G20">
        <v>822</v>
      </c>
      <c r="H20" s="1">
        <v>-1.4290391902142983</v>
      </c>
      <c r="I20">
        <v>1161</v>
      </c>
      <c r="J20" s="1">
        <v>1.5701688537561707</v>
      </c>
      <c r="K20">
        <v>1268</v>
      </c>
      <c r="L20" s="1">
        <v>2.3359095298989718</v>
      </c>
    </row>
    <row r="21" spans="3:12">
      <c r="D21">
        <v>29</v>
      </c>
      <c r="E21">
        <v>3150</v>
      </c>
      <c r="F21">
        <v>958</v>
      </c>
      <c r="G21">
        <v>800</v>
      </c>
      <c r="H21" s="1">
        <v>-1.5655104417320167</v>
      </c>
      <c r="I21">
        <v>1500</v>
      </c>
      <c r="J21" s="1">
        <v>3.8945149995427357</v>
      </c>
      <c r="K21">
        <v>1460</v>
      </c>
      <c r="L21" s="1">
        <v>3.6597469341178539</v>
      </c>
    </row>
    <row r="22" spans="3:12">
      <c r="D22">
        <v>31</v>
      </c>
      <c r="E22">
        <v>5000</v>
      </c>
      <c r="F22">
        <v>969</v>
      </c>
      <c r="G22">
        <v>803</v>
      </c>
      <c r="H22" s="1">
        <v>-1.6321646354416881</v>
      </c>
      <c r="I22">
        <v>1310</v>
      </c>
      <c r="J22" s="1">
        <v>2.6189503720999778</v>
      </c>
      <c r="K22">
        <v>1033</v>
      </c>
      <c r="L22" s="1">
        <v>0.55553088937710515</v>
      </c>
    </row>
    <row r="23" spans="3:12">
      <c r="D23">
        <v>33</v>
      </c>
      <c r="E23">
        <v>8000</v>
      </c>
      <c r="F23">
        <v>966</v>
      </c>
      <c r="G23">
        <v>798</v>
      </c>
      <c r="H23" s="1">
        <v>-1.6594847012952783</v>
      </c>
      <c r="I23">
        <v>1470</v>
      </c>
      <c r="J23" s="1">
        <v>3.6468041666536557</v>
      </c>
      <c r="K23">
        <v>863</v>
      </c>
      <c r="L23" s="1">
        <v>-0.979326614005675</v>
      </c>
    </row>
    <row r="24" spans="3:12">
      <c r="D24">
        <v>35</v>
      </c>
      <c r="E24">
        <v>12500</v>
      </c>
      <c r="F24">
        <v>944</v>
      </c>
      <c r="G24">
        <v>782</v>
      </c>
      <c r="H24" s="1">
        <v>-1.6353048247644191</v>
      </c>
      <c r="I24">
        <v>1169</v>
      </c>
      <c r="J24" s="1">
        <v>1.8568503372754233</v>
      </c>
      <c r="K24">
        <v>802</v>
      </c>
      <c r="L24" s="1">
        <v>-1.4159525202781098</v>
      </c>
    </row>
    <row r="25" spans="3:12">
      <c r="D25">
        <v>37</v>
      </c>
      <c r="E25">
        <v>20000</v>
      </c>
      <c r="F25">
        <v>923</v>
      </c>
      <c r="G25">
        <v>752</v>
      </c>
      <c r="H25" s="1">
        <v>-1.7796772086853963</v>
      </c>
      <c r="I25">
        <v>783</v>
      </c>
      <c r="J25" s="1">
        <v>-1.4287987793593731</v>
      </c>
      <c r="K25">
        <v>756</v>
      </c>
      <c r="L25" s="1">
        <v>-1.7335981104941101</v>
      </c>
    </row>
    <row r="28" spans="3:12">
      <c r="C28" t="s">
        <v>11</v>
      </c>
    </row>
    <row r="30" spans="3:12">
      <c r="D30" t="s">
        <v>3</v>
      </c>
      <c r="E30" t="s">
        <v>4</v>
      </c>
      <c r="F30" t="s">
        <v>5</v>
      </c>
      <c r="G30" t="s">
        <v>7</v>
      </c>
      <c r="H30" t="s">
        <v>9</v>
      </c>
    </row>
    <row r="31" spans="3:12">
      <c r="D31">
        <v>15</v>
      </c>
      <c r="E31">
        <v>1790</v>
      </c>
      <c r="F31">
        <v>1480</v>
      </c>
      <c r="G31">
        <v>599</v>
      </c>
      <c r="H31">
        <v>281</v>
      </c>
    </row>
    <row r="32" spans="3:12">
      <c r="D32">
        <v>16</v>
      </c>
      <c r="E32">
        <v>1430</v>
      </c>
      <c r="F32">
        <v>1184</v>
      </c>
      <c r="G32">
        <v>569</v>
      </c>
      <c r="H32">
        <v>290</v>
      </c>
    </row>
    <row r="33" spans="4:8">
      <c r="D33">
        <v>17</v>
      </c>
      <c r="E33">
        <v>1008</v>
      </c>
      <c r="F33">
        <v>841</v>
      </c>
      <c r="G33">
        <v>465</v>
      </c>
      <c r="H33">
        <v>290</v>
      </c>
    </row>
    <row r="34" spans="4:8">
      <c r="D34">
        <v>18</v>
      </c>
      <c r="E34">
        <v>637</v>
      </c>
      <c r="F34">
        <v>543</v>
      </c>
      <c r="G34">
        <v>384</v>
      </c>
      <c r="H34">
        <v>280</v>
      </c>
    </row>
    <row r="35" spans="4:8">
      <c r="D35">
        <v>19</v>
      </c>
      <c r="E35">
        <v>201</v>
      </c>
      <c r="F35">
        <v>198</v>
      </c>
      <c r="G35">
        <v>196</v>
      </c>
      <c r="H35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2026-04-07T09:14:59Z</dcterms:created>
  <dcterms:modified xsi:type="dcterms:W3CDTF">2026-04-07T12:44:53Z</dcterms:modified>
  <cp:category/>
  <cp:contentStatus/>
</cp:coreProperties>
</file>