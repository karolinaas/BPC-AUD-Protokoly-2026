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ABCE6234-8C41-4955-82EF-A8CDAB558D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E37" i="1"/>
  <c r="E62" i="1" a="1"/>
  <c r="E62" i="1"/>
  <c r="E57" i="1"/>
  <c r="E56" i="1"/>
  <c r="E47" i="1"/>
  <c r="E31" i="1"/>
  <c r="F6" i="1" a="1"/>
  <c r="F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<sst xmlns="http://schemas.openxmlformats.org/spreadsheetml/2006/main" count="57" uniqueCount="43">
  <si>
    <t>1. Měření modulové kmitočtové charakteristiky</t>
  </si>
  <si>
    <t>f (Hz)</t>
  </si>
  <si>
    <t>U2 (V)</t>
  </si>
  <si>
    <t>Au (dB)</t>
  </si>
  <si>
    <t xml:space="preserve">U1 = </t>
  </si>
  <si>
    <t>mV</t>
  </si>
  <si>
    <t>3. Měření maximálního vstupního výkonu pro limitaci</t>
  </si>
  <si>
    <t>Uvýst =</t>
  </si>
  <si>
    <t>V</t>
  </si>
  <si>
    <t xml:space="preserve">Pmax = </t>
  </si>
  <si>
    <t>W</t>
  </si>
  <si>
    <t>4. Měření účinnosti</t>
  </si>
  <si>
    <t xml:space="preserve">Un = </t>
  </si>
  <si>
    <t>In =</t>
  </si>
  <si>
    <t>A</t>
  </si>
  <si>
    <t xml:space="preserve">n = </t>
  </si>
  <si>
    <t>%</t>
  </si>
  <si>
    <t>5. Měření vstupního odporu zesilovače</t>
  </si>
  <si>
    <t>Rvst =</t>
  </si>
  <si>
    <t>kOhm</t>
  </si>
  <si>
    <t>6. Měření výstupního odporu zesilovače</t>
  </si>
  <si>
    <t>U2 =</t>
  </si>
  <si>
    <t>U20 =</t>
  </si>
  <si>
    <t>Rvýst =</t>
  </si>
  <si>
    <t>Ohm</t>
  </si>
  <si>
    <t>7. Určení činitele tlumení zátěže</t>
  </si>
  <si>
    <t>D =</t>
  </si>
  <si>
    <t>8. Měření rychlosti přeběhu</t>
  </si>
  <si>
    <t>SRrise =</t>
  </si>
  <si>
    <t>V/us</t>
  </si>
  <si>
    <t>deltaU =</t>
  </si>
  <si>
    <t>deltat =</t>
  </si>
  <si>
    <t>us</t>
  </si>
  <si>
    <t>SRfall =</t>
  </si>
  <si>
    <t>9. Měření harmonického zkreslení</t>
  </si>
  <si>
    <t>P2 (W)</t>
  </si>
  <si>
    <t>k2 (%)</t>
  </si>
  <si>
    <t>k3 (%)</t>
  </si>
  <si>
    <t>THD+N (%)</t>
  </si>
  <si>
    <t>f =</t>
  </si>
  <si>
    <t>kHz</t>
  </si>
  <si>
    <t>Rz =</t>
  </si>
  <si>
    <t>THD+Ngen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</si>
</sst>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Sheet1!$D$6:$D$25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500</c:v>
                </c:pt>
                <c:pt idx="9">
                  <c:v>700</c:v>
                </c:pt>
                <c:pt idx="10">
                  <c:v>1000</c:v>
                </c:pt>
                <c:pt idx="11">
                  <c:v>2000</c:v>
                </c:pt>
                <c:pt idx="12">
                  <c:v>3000</c:v>
                </c:pt>
                <c:pt idx="13">
                  <c:v>5000</c:v>
                </c:pt>
                <c:pt idx="14">
                  <c:v>7000</c:v>
                </c:pt>
                <c:pt idx="15">
                  <c:v>10000</c:v>
                </c:pt>
                <c:pt idx="16">
                  <c:v>20000</c:v>
                </c:pt>
                <c:pt idx="17">
                  <c:v>30000</c:v>
                </c:pt>
                <c:pt idx="18">
                  <c:v>50000</c:v>
                </c:pt>
                <c:pt idx="19">
                  <c:v>100000</c:v>
                </c:pt>
              </c:numCache>
            </c:numRef>
          </c:xVal>
          <c:yVal>
            <c:numRef>
              <c:f>Sheet1!$F$6:$F$25</c:f>
              <c:numCache>
                <c:formatCode>0.00</c:formatCode>
                <c:ptCount val="20"/>
                <c:pt idx="0">
                  <c:v>19.824521513849895</c:v>
                </c:pt>
                <c:pt idx="1">
                  <c:v>20.172003435238352</c:v>
                </c:pt>
                <c:pt idx="2">
                  <c:v>20.256744494103444</c:v>
                </c:pt>
                <c:pt idx="3">
                  <c:v>20.256744494103444</c:v>
                </c:pt>
                <c:pt idx="4">
                  <c:v>20.256744494103444</c:v>
                </c:pt>
                <c:pt idx="5">
                  <c:v>20.340666785975607</c:v>
                </c:pt>
                <c:pt idx="6">
                  <c:v>20.340666785975607</c:v>
                </c:pt>
                <c:pt idx="7">
                  <c:v>20.340666785975607</c:v>
                </c:pt>
                <c:pt idx="8">
                  <c:v>20.340666785975607</c:v>
                </c:pt>
                <c:pt idx="9">
                  <c:v>20.340666785975607</c:v>
                </c:pt>
                <c:pt idx="10">
                  <c:v>20.340666785975607</c:v>
                </c:pt>
                <c:pt idx="11">
                  <c:v>20.340666785975607</c:v>
                </c:pt>
                <c:pt idx="12">
                  <c:v>20.340666785975607</c:v>
                </c:pt>
                <c:pt idx="13">
                  <c:v>20.423785981398762</c:v>
                </c:pt>
                <c:pt idx="14">
                  <c:v>20.587675553704194</c:v>
                </c:pt>
                <c:pt idx="15">
                  <c:v>20.748529958812473</c:v>
                </c:pt>
                <c:pt idx="16">
                  <c:v>21.798102228787958</c:v>
                </c:pt>
                <c:pt idx="17">
                  <c:v>22.734411343128137</c:v>
                </c:pt>
                <c:pt idx="18">
                  <c:v>22.144199392957368</c:v>
                </c:pt>
                <c:pt idx="19">
                  <c:v>-15.917600346881503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F7-41BC-B49F-C33E3DEF1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370823"/>
        <c:axId val="743342599"/>
      </c:scatterChart>
      <c:valAx>
        <c:axId val="16863708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42599"/>
        <c:crosses val="autoZero"/>
        <c:crossBetween val="midCat"/>
      </c:valAx>
      <c:valAx>
        <c:axId val="743342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70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Sheet1!$F$61</c:f>
              <c:strCache>
                <c:ptCount val="1"/>
                <c:pt idx="0">
                  <c:v>k2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Sheet1!$E$62:$E$66</c:f>
              <c:numCache>
                <c:formatCode>General</c:formatCode>
                <c:ptCount val="5"/>
                <c:pt idx="0">
                  <c:v>3.7812500000000006E-2</c:v>
                </c:pt>
                <c:pt idx="1">
                  <c:v>0.9453125</c:v>
                </c:pt>
                <c:pt idx="2">
                  <c:v>3.0752000000000002</c:v>
                </c:pt>
                <c:pt idx="3">
                  <c:v>4.2778124999999996</c:v>
                </c:pt>
                <c:pt idx="4">
                  <c:v>6.462012500000001</c:v>
                </c:pt>
              </c:numCache>
            </c:numRef>
          </c:xVal>
          <c:yVal>
            <c:numRef>
              <c:f>Sheet1!$F$62:$F$66</c:f>
              <c:numCache>
                <c:formatCode>General</c:formatCode>
                <c:ptCount val="5"/>
                <c:pt idx="0">
                  <c:v>1.6299999999999999E-2</c:v>
                </c:pt>
                <c:pt idx="1">
                  <c:v>0.2034</c:v>
                </c:pt>
                <c:pt idx="2">
                  <c:v>1.55E-2</c:v>
                </c:pt>
                <c:pt idx="3">
                  <c:v>2.0199999999999999E-2</c:v>
                </c:pt>
                <c:pt idx="4">
                  <c:v>0.1186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F-435D-9057-AD1EC1AD54CE}"/>
            </c:ext>
          </c:extLst>
        </c:ser>
        <c:ser>
          <c:idx val="1"/>
          <c:order val="1"/>
          <c:tx>
            <c:strRef>
              <c:f>Sheet1!$G$61</c:f>
              <c:strCache>
                <c:ptCount val="1"/>
                <c:pt idx="0">
                  <c:v>k3 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Sheet1!$E$62:$E$66</c:f>
              <c:numCache>
                <c:formatCode>General</c:formatCode>
                <c:ptCount val="5"/>
                <c:pt idx="0">
                  <c:v>3.7812500000000006E-2</c:v>
                </c:pt>
                <c:pt idx="1">
                  <c:v>0.9453125</c:v>
                </c:pt>
                <c:pt idx="2">
                  <c:v>3.0752000000000002</c:v>
                </c:pt>
                <c:pt idx="3">
                  <c:v>4.2778124999999996</c:v>
                </c:pt>
                <c:pt idx="4">
                  <c:v>6.462012500000001</c:v>
                </c:pt>
              </c:numCache>
            </c:numRef>
          </c:xVal>
          <c:yVal>
            <c:numRef>
              <c:f>Sheet1!$G$62:$G$66</c:f>
              <c:numCache>
                <c:formatCode>General</c:formatCode>
                <c:ptCount val="5"/>
                <c:pt idx="0">
                  <c:v>3.9100000000000003E-2</c:v>
                </c:pt>
                <c:pt idx="1">
                  <c:v>1.4999999999999999E-2</c:v>
                </c:pt>
                <c:pt idx="2">
                  <c:v>4.2099999999999999E-2</c:v>
                </c:pt>
                <c:pt idx="3">
                  <c:v>5.1700000000000003E-2</c:v>
                </c:pt>
                <c:pt idx="4">
                  <c:v>0.25190000000000001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1F-435D-9057-AD1EC1AD54CE}"/>
            </c:ext>
          </c:extLst>
        </c:ser>
        <c:ser>
          <c:idx val="2"/>
          <c:order val="2"/>
          <c:tx>
            <c:strRef>
              <c:f>Sheet1!$H$61</c:f>
              <c:strCache>
                <c:ptCount val="1"/>
                <c:pt idx="0">
                  <c:v>THD+N (%)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Sheet1!$E$62:$E$66</c:f>
              <c:numCache>
                <c:formatCode>General</c:formatCode>
                <c:ptCount val="5"/>
                <c:pt idx="0">
                  <c:v>3.7812500000000006E-2</c:v>
                </c:pt>
                <c:pt idx="1">
                  <c:v>0.9453125</c:v>
                </c:pt>
                <c:pt idx="2">
                  <c:v>3.0752000000000002</c:v>
                </c:pt>
                <c:pt idx="3">
                  <c:v>4.2778124999999996</c:v>
                </c:pt>
                <c:pt idx="4">
                  <c:v>6.462012500000001</c:v>
                </c:pt>
              </c:numCache>
            </c:numRef>
          </c:xVal>
          <c:yVal>
            <c:numRef>
              <c:f>Sheet1!$H$62:$H$66</c:f>
              <c:numCache>
                <c:formatCode>General</c:formatCode>
                <c:ptCount val="5"/>
                <c:pt idx="0">
                  <c:v>0.15</c:v>
                </c:pt>
                <c:pt idx="1">
                  <c:v>0.27500000000000002</c:v>
                </c:pt>
                <c:pt idx="2">
                  <c:v>0.219</c:v>
                </c:pt>
                <c:pt idx="3">
                  <c:v>0.104</c:v>
                </c:pt>
                <c:pt idx="4">
                  <c:v>1.389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41F-435D-9057-AD1EC1AD5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10056"/>
        <c:axId val="436612104"/>
      </c:scatterChart>
      <c:valAx>
        <c:axId val="436610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12104"/>
        <c:crosses val="autoZero"/>
        <c:crossBetween val="midCat"/>
      </c:valAx>
      <c:valAx>
        <c:axId val="43661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10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6</xdr:row>
      <xdr:rowOff>76200</xdr:rowOff>
    </xdr:from>
    <xdr:to>
      <xdr:col>18</xdr:col>
      <xdr:colOff>438150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481DC5-1551-19AD-6376-0C4AEE2B2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123825</xdr:colOff>
      <xdr:row>58</xdr:row>
      <xdr:rowOff>180975</xdr:rowOff>
    </xdr:from>
    <xdr:to>
      <xdr:col>19</xdr:col>
      <xdr:colOff>428625</xdr:colOff>
      <xdr:row>73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AF1D5B-8B01-CB0D-E5F0-40C035F2D4A4}"/>
            </a:ext>
            <a:ext uri="{147F2762-F138-4A5C-976F-8EAC2B608ADB}">
              <a16:predDERef xmlns:a16="http://schemas.microsoft.com/office/drawing/2014/main" pred="{8F481DC5-1551-19AD-6376-0C4AEE2B2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L66"/>
  <sheetViews>
    <sheetView tabSelected="1" topLeftCell="A30" workbookViewId="0">
      <selection activeCell="B48" sqref="B48"/>
    </sheetView>
  </sheetViews>
  <sheetFormatPr defaultRowHeight="15"/>
  <sheetData>
    <row r="3" spans="3:11">
      <c r="C3" t="s">
        <v>0</v>
      </c>
    </row>
    <row r="5" spans="3:11">
      <c r="D5" t="s">
        <v>1</v>
      </c>
      <c r="E5" t="s">
        <v>2</v>
      </c>
      <c r="F5" t="s">
        <v>3</v>
      </c>
      <c r="I5" t="s">
        <v>4</v>
      </c>
      <c r="J5">
        <v>100</v>
      </c>
      <c r="K5" t="s">
        <v>5</v>
      </c>
    </row>
    <row r="6" spans="3:11">
      <c r="D6">
        <v>10</v>
      </c>
      <c r="E6">
        <v>0.98</v>
      </c>
      <c r="F6" s="1" cm="1">
        <f t="array" ref="F6:F25">20*LOG(E6:E25/0.1)</f>
        <v>19.824521513849895</v>
      </c>
    </row>
    <row r="7" spans="3:11">
      <c r="D7">
        <v>20</v>
      </c>
      <c r="E7">
        <v>1.02</v>
      </c>
      <c r="F7" s="1">
        <v>20.172003435238352</v>
      </c>
    </row>
    <row r="8" spans="3:11">
      <c r="D8">
        <v>30</v>
      </c>
      <c r="E8">
        <v>1.03</v>
      </c>
      <c r="F8" s="1">
        <v>20.256744494103444</v>
      </c>
    </row>
    <row r="9" spans="3:11">
      <c r="D9">
        <v>50</v>
      </c>
      <c r="E9">
        <v>1.03</v>
      </c>
      <c r="F9" s="1">
        <v>20.256744494103444</v>
      </c>
    </row>
    <row r="10" spans="3:11">
      <c r="D10">
        <v>70</v>
      </c>
      <c r="E10">
        <v>1.03</v>
      </c>
      <c r="F10" s="1">
        <v>20.256744494103444</v>
      </c>
    </row>
    <row r="11" spans="3:11">
      <c r="D11">
        <v>100</v>
      </c>
      <c r="E11">
        <v>1.04</v>
      </c>
      <c r="F11" s="1">
        <v>20.340666785975607</v>
      </c>
    </row>
    <row r="12" spans="3:11">
      <c r="D12">
        <v>200</v>
      </c>
      <c r="E12">
        <v>1.04</v>
      </c>
      <c r="F12" s="1">
        <v>20.340666785975607</v>
      </c>
    </row>
    <row r="13" spans="3:11">
      <c r="D13">
        <v>300</v>
      </c>
      <c r="E13">
        <v>1.04</v>
      </c>
      <c r="F13" s="1">
        <v>20.340666785975607</v>
      </c>
    </row>
    <row r="14" spans="3:11">
      <c r="D14">
        <v>500</v>
      </c>
      <c r="E14">
        <v>1.04</v>
      </c>
      <c r="F14" s="1">
        <v>20.340666785975607</v>
      </c>
    </row>
    <row r="15" spans="3:11">
      <c r="D15">
        <v>700</v>
      </c>
      <c r="E15">
        <v>1.04</v>
      </c>
      <c r="F15" s="1">
        <v>20.340666785975607</v>
      </c>
    </row>
    <row r="16" spans="3:11">
      <c r="D16">
        <v>1000</v>
      </c>
      <c r="E16">
        <v>1.04</v>
      </c>
      <c r="F16" s="1">
        <v>20.340666785975607</v>
      </c>
    </row>
    <row r="17" spans="3:6">
      <c r="D17">
        <v>2000</v>
      </c>
      <c r="E17">
        <v>1.04</v>
      </c>
      <c r="F17" s="1">
        <v>20.340666785975607</v>
      </c>
    </row>
    <row r="18" spans="3:6">
      <c r="D18">
        <v>3000</v>
      </c>
      <c r="E18">
        <v>1.04</v>
      </c>
      <c r="F18" s="1">
        <v>20.340666785975607</v>
      </c>
    </row>
    <row r="19" spans="3:6">
      <c r="D19">
        <v>5000</v>
      </c>
      <c r="E19">
        <v>1.05</v>
      </c>
      <c r="F19" s="1">
        <v>20.423785981398762</v>
      </c>
    </row>
    <row r="20" spans="3:6">
      <c r="D20">
        <v>7000</v>
      </c>
      <c r="E20">
        <v>1.07</v>
      </c>
      <c r="F20" s="1">
        <v>20.587675553704194</v>
      </c>
    </row>
    <row r="21" spans="3:6">
      <c r="D21">
        <v>10000</v>
      </c>
      <c r="E21">
        <v>1.0900000000000001</v>
      </c>
      <c r="F21" s="1">
        <v>20.748529958812473</v>
      </c>
    </row>
    <row r="22" spans="3:6">
      <c r="D22">
        <v>20000</v>
      </c>
      <c r="E22">
        <v>1.23</v>
      </c>
      <c r="F22" s="1">
        <v>21.798102228787958</v>
      </c>
    </row>
    <row r="23" spans="3:6">
      <c r="D23">
        <v>30000</v>
      </c>
      <c r="E23">
        <v>1.37</v>
      </c>
      <c r="F23" s="1">
        <v>22.734411343128137</v>
      </c>
    </row>
    <row r="24" spans="3:6">
      <c r="D24">
        <v>50000</v>
      </c>
      <c r="E24">
        <v>1.28</v>
      </c>
      <c r="F24" s="1">
        <v>22.144199392957368</v>
      </c>
    </row>
    <row r="25" spans="3:6">
      <c r="D25">
        <v>100000</v>
      </c>
      <c r="E25">
        <v>1.6E-2</v>
      </c>
      <c r="F25" s="1">
        <v>-15.917600346881503</v>
      </c>
    </row>
    <row r="28" spans="3:6">
      <c r="C28" t="s">
        <v>6</v>
      </c>
    </row>
    <row r="30" spans="3:6">
      <c r="D30" t="s">
        <v>7</v>
      </c>
      <c r="E30">
        <v>5.81</v>
      </c>
      <c r="F30" t="s">
        <v>8</v>
      </c>
    </row>
    <row r="31" spans="3:6">
      <c r="D31" t="s">
        <v>9</v>
      </c>
      <c r="E31">
        <f>E30^2/8</f>
        <v>4.2195124999999996</v>
      </c>
      <c r="F31" t="s">
        <v>10</v>
      </c>
    </row>
    <row r="33" spans="3:6">
      <c r="C33" t="s">
        <v>11</v>
      </c>
    </row>
    <row r="35" spans="3:6">
      <c r="D35" t="s">
        <v>12</v>
      </c>
      <c r="E35">
        <v>11.67</v>
      </c>
      <c r="F35" t="s">
        <v>8</v>
      </c>
    </row>
    <row r="36" spans="3:6">
      <c r="D36" t="s">
        <v>13</v>
      </c>
      <c r="E36">
        <v>0.52</v>
      </c>
      <c r="F36" t="s">
        <v>14</v>
      </c>
    </row>
    <row r="37" spans="3:6">
      <c r="D37" t="s">
        <v>15</v>
      </c>
      <c r="E37">
        <f>E31/(E35*E36)*100</f>
        <v>69.532537406894718</v>
      </c>
      <c r="F37" t="s">
        <v>16</v>
      </c>
    </row>
    <row r="39" spans="3:6">
      <c r="C39" t="s">
        <v>17</v>
      </c>
    </row>
    <row r="41" spans="3:6">
      <c r="D41" t="s">
        <v>18</v>
      </c>
      <c r="E41">
        <v>22</v>
      </c>
      <c r="F41" t="s">
        <v>19</v>
      </c>
    </row>
    <row r="43" spans="3:6">
      <c r="C43" t="s">
        <v>20</v>
      </c>
    </row>
    <row r="45" spans="3:6">
      <c r="D45" t="s">
        <v>21</v>
      </c>
      <c r="E45">
        <v>1.08</v>
      </c>
      <c r="F45" t="s">
        <v>8</v>
      </c>
    </row>
    <row r="46" spans="3:6">
      <c r="D46" t="s">
        <v>22</v>
      </c>
      <c r="E46">
        <v>1.19</v>
      </c>
      <c r="F46" t="s">
        <v>8</v>
      </c>
    </row>
    <row r="47" spans="3:6">
      <c r="D47" t="s">
        <v>23</v>
      </c>
      <c r="E47">
        <f xml:space="preserve"> 8*(E46-E45)/E45</f>
        <v>0.81481481481481388</v>
      </c>
      <c r="F47" t="s">
        <v>24</v>
      </c>
    </row>
    <row r="49" spans="3:12">
      <c r="C49" t="s">
        <v>25</v>
      </c>
    </row>
    <row r="51" spans="3:12">
      <c r="D51" t="s">
        <v>26</v>
      </c>
      <c r="E51">
        <f>8/E47</f>
        <v>9.818181818181829</v>
      </c>
    </row>
    <row r="53" spans="3:12">
      <c r="C53" t="s">
        <v>27</v>
      </c>
    </row>
    <row r="55" spans="3:12">
      <c r="D55" t="s">
        <v>4</v>
      </c>
      <c r="E55">
        <v>0.53500000000000003</v>
      </c>
      <c r="F55" t="s">
        <v>8</v>
      </c>
    </row>
    <row r="56" spans="3:12">
      <c r="D56" t="s">
        <v>28</v>
      </c>
      <c r="E56">
        <f xml:space="preserve"> H56/K56</f>
        <v>1.9203703703703701</v>
      </c>
      <c r="F56" t="s">
        <v>29</v>
      </c>
      <c r="G56" t="s">
        <v>30</v>
      </c>
      <c r="H56">
        <v>10.37</v>
      </c>
      <c r="I56" t="s">
        <v>8</v>
      </c>
      <c r="J56" t="s">
        <v>31</v>
      </c>
      <c r="K56">
        <v>5.4</v>
      </c>
      <c r="L56" t="s">
        <v>32</v>
      </c>
    </row>
    <row r="57" spans="3:12">
      <c r="D57" t="s">
        <v>33</v>
      </c>
      <c r="E57">
        <f>H57/K57</f>
        <v>2.1604166666666664</v>
      </c>
      <c r="F57" t="s">
        <v>29</v>
      </c>
      <c r="G57" t="s">
        <v>30</v>
      </c>
      <c r="H57">
        <v>10.37</v>
      </c>
      <c r="I57" t="s">
        <v>8</v>
      </c>
      <c r="J57" t="s">
        <v>31</v>
      </c>
      <c r="K57">
        <v>4.8</v>
      </c>
      <c r="L57" t="s">
        <v>32</v>
      </c>
    </row>
    <row r="59" spans="3:12">
      <c r="C59" t="s">
        <v>34</v>
      </c>
    </row>
    <row r="61" spans="3:12">
      <c r="D61" t="s">
        <v>2</v>
      </c>
      <c r="E61" t="s">
        <v>35</v>
      </c>
      <c r="F61" t="s">
        <v>36</v>
      </c>
      <c r="G61" t="s">
        <v>37</v>
      </c>
      <c r="H61" t="s">
        <v>38</v>
      </c>
      <c r="J61" t="s">
        <v>39</v>
      </c>
      <c r="K61">
        <v>1</v>
      </c>
      <c r="L61" t="s">
        <v>40</v>
      </c>
    </row>
    <row r="62" spans="3:12">
      <c r="D62">
        <v>0.55000000000000004</v>
      </c>
      <c r="E62" cm="1">
        <f t="array" ref="E62:E66">D62:D66^2/K62</f>
        <v>3.7812500000000006E-2</v>
      </c>
      <c r="F62">
        <v>1.6299999999999999E-2</v>
      </c>
      <c r="G62">
        <v>3.9100000000000003E-2</v>
      </c>
      <c r="H62">
        <v>0.15</v>
      </c>
      <c r="J62" t="s">
        <v>41</v>
      </c>
      <c r="K62">
        <v>8</v>
      </c>
      <c r="L62" t="s">
        <v>24</v>
      </c>
    </row>
    <row r="63" spans="3:12">
      <c r="D63">
        <v>2.75</v>
      </c>
      <c r="E63">
        <v>0.9453125</v>
      </c>
      <c r="F63">
        <v>0.2034</v>
      </c>
      <c r="G63">
        <v>1.4999999999999999E-2</v>
      </c>
      <c r="H63">
        <v>0.27500000000000002</v>
      </c>
      <c r="J63" t="s">
        <v>42</v>
      </c>
      <c r="K63">
        <v>2.3E-2</v>
      </c>
      <c r="L63" t="s">
        <v>16</v>
      </c>
    </row>
    <row r="64" spans="3:12">
      <c r="D64">
        <v>4.96</v>
      </c>
      <c r="E64">
        <v>3.0752000000000002</v>
      </c>
      <c r="F64">
        <v>1.55E-2</v>
      </c>
      <c r="G64">
        <v>4.2099999999999999E-2</v>
      </c>
      <c r="H64">
        <v>0.219</v>
      </c>
    </row>
    <row r="65" spans="4:8">
      <c r="D65">
        <v>5.85</v>
      </c>
      <c r="E65">
        <v>4.2778124999999996</v>
      </c>
      <c r="F65">
        <v>2.0199999999999999E-2</v>
      </c>
      <c r="G65">
        <v>5.1700000000000003E-2</v>
      </c>
      <c r="H65">
        <v>0.104</v>
      </c>
    </row>
    <row r="66" spans="4:8">
      <c r="D66">
        <v>7.19</v>
      </c>
      <c r="E66">
        <v>6.462012500000001</v>
      </c>
      <c r="F66">
        <v>0.1186</v>
      </c>
      <c r="G66">
        <v>0.25190000000000001</v>
      </c>
      <c r="H66">
        <v>1.389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2026-03-03T10:00:35Z</dcterms:created>
  <dcterms:modified xsi:type="dcterms:W3CDTF">2026-03-03T14:17:28Z</dcterms:modified>
  <cp:category/>
  <cp:contentStatus/>
</cp:coreProperties>
</file>