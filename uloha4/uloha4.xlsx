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565F48F4-7109-429A-9212-1097477E35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1" l="1" a="1"/>
  <c r="K60" i="1"/>
  <c r="I60" i="1" a="1"/>
  <c r="I60" i="1"/>
  <c r="G60" i="1" a="1"/>
  <c r="G60" i="1"/>
  <c r="G44" i="1" a="1"/>
  <c r="G44" i="1"/>
  <c r="K29" i="1" a="1"/>
  <c r="K29" i="1"/>
  <c r="I29" i="1" a="1"/>
  <c r="I29" i="1"/>
  <c r="G29" i="1" a="1"/>
  <c r="G29" i="1"/>
  <c r="G7" i="1" a="1"/>
  <c r="G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<sst xmlns="http://schemas.openxmlformats.org/spreadsheetml/2006/main" count="32" uniqueCount="13">
  <si>
    <t>1. Změřte modulovou kmitočtovou charakteristiku</t>
  </si>
  <si>
    <t>f (Hz)</t>
  </si>
  <si>
    <t>U2 (mV)</t>
  </si>
  <si>
    <t>Au (dB)</t>
  </si>
  <si>
    <t>U1 =</t>
  </si>
  <si>
    <t>mVrms</t>
  </si>
  <si>
    <t>2. Změřte modulovou kmitočtovou charakteristiku</t>
  </si>
  <si>
    <t>fm = 80 Hz</t>
  </si>
  <si>
    <t>fm = 120 Hz</t>
  </si>
  <si>
    <t>fm = 160 Hz</t>
  </si>
  <si>
    <t>4. Změřte průběh zesílení subwooferu</t>
  </si>
  <si>
    <t>nastavené zesílení (dB)</t>
  </si>
  <si>
    <t>5. Změřte modulovou kmitočtovou charakteristiku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</si>
</sst>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Sheet1!$G$6</c:f>
              <c:strCache>
                <c:ptCount val="1"/>
                <c:pt idx="0">
                  <c:v>Au 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Sheet1!$E$7:$E$23</c:f>
              <c:numCache>
                <c:formatCode>#,##0</c:formatCode>
                <c:ptCount val="1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70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700</c:v>
                </c:pt>
                <c:pt idx="10">
                  <c:v>1000</c:v>
                </c:pt>
                <c:pt idx="11">
                  <c:v>2000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  <c:pt idx="16">
                  <c:v>30000</c:v>
                </c:pt>
              </c:numCache>
            </c:numRef>
          </c:xVal>
          <c:yVal>
            <c:numRef>
              <c:f>Sheet1!$G$7:$G$23</c:f>
              <c:numCache>
                <c:formatCode>0.00</c:formatCode>
                <c:ptCount val="17"/>
                <c:pt idx="0">
                  <c:v>-2.6153656053804761</c:v>
                </c:pt>
                <c:pt idx="1">
                  <c:v>-1.4116214857141456</c:v>
                </c:pt>
                <c:pt idx="2">
                  <c:v>-0.91514981121350236</c:v>
                </c:pt>
                <c:pt idx="3">
                  <c:v>-0.48217727196414517</c:v>
                </c:pt>
                <c:pt idx="4">
                  <c:v>-0.22882086242768965</c:v>
                </c:pt>
                <c:pt idx="5">
                  <c:v>-0.1577702442610068</c:v>
                </c:pt>
                <c:pt idx="6">
                  <c:v>-0.12246170117577589</c:v>
                </c:pt>
                <c:pt idx="7">
                  <c:v>-8.7296108049001758E-2</c:v>
                </c:pt>
                <c:pt idx="8">
                  <c:v>-6.9766556916426942E-2</c:v>
                </c:pt>
                <c:pt idx="9">
                  <c:v>-6.9766556916426942E-2</c:v>
                </c:pt>
                <c:pt idx="10">
                  <c:v>-6.9766556916426942E-2</c:v>
                </c:pt>
                <c:pt idx="11">
                  <c:v>-6.9766556916426942E-2</c:v>
                </c:pt>
                <c:pt idx="12">
                  <c:v>-6.9766556916426942E-2</c:v>
                </c:pt>
                <c:pt idx="13">
                  <c:v>-6.9766556916426942E-2</c:v>
                </c:pt>
                <c:pt idx="14">
                  <c:v>-6.9766556916426942E-2</c:v>
                </c:pt>
                <c:pt idx="15">
                  <c:v>-6.9766556916426942E-2</c:v>
                </c:pt>
                <c:pt idx="16">
                  <c:v>-5.2272312053733803E-2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B-4A3D-A43A-48225E962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03912"/>
        <c:axId val="180605960"/>
      </c:scatterChart>
      <c:valAx>
        <c:axId val="1806039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960"/>
        <c:crosses val="autoZero"/>
        <c:crossBetween val="midCat"/>
      </c:valAx>
      <c:valAx>
        <c:axId val="18060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3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(dB) 80Hz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Sheet1!$E$29:$E$39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  <c:pt idx="10">
                  <c:v>400</c:v>
                </c:pt>
              </c:numCache>
            </c:numRef>
          </c:xVal>
          <c:yVal>
            <c:numRef>
              <c:f>Sheet1!$G$29:$G$39</c:f>
              <c:numCache>
                <c:formatCode>0.00</c:formatCode>
                <c:ptCount val="11"/>
                <c:pt idx="0">
                  <c:v>-58.416375079047505</c:v>
                </c:pt>
                <c:pt idx="1">
                  <c:v>-39.015639546596368</c:v>
                </c:pt>
                <c:pt idx="2">
                  <c:v>-28.134278659590851</c:v>
                </c:pt>
                <c:pt idx="3">
                  <c:v>-15.060186015169004</c:v>
                </c:pt>
                <c:pt idx="4">
                  <c:v>-7.3306308884082689</c:v>
                </c:pt>
                <c:pt idx="5">
                  <c:v>-1.8517727845082763</c:v>
                </c:pt>
                <c:pt idx="6">
                  <c:v>-0.12246170117577589</c:v>
                </c:pt>
                <c:pt idx="7">
                  <c:v>0</c:v>
                </c:pt>
                <c:pt idx="8">
                  <c:v>-1.7389174252577827E-2</c:v>
                </c:pt>
                <c:pt idx="9">
                  <c:v>-5.2272312053733803E-2</c:v>
                </c:pt>
                <c:pt idx="10">
                  <c:v>-8.7296108049001758E-2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51-4678-AA69-7F541A9E2DEA}"/>
            </c:ext>
          </c:extLst>
        </c:ser>
        <c:ser>
          <c:idx val="1"/>
          <c:order val="1"/>
          <c:tx>
            <c:v>Au (dB) 120Hz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Sheet1!$E$29:$E$39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  <c:pt idx="10">
                  <c:v>400</c:v>
                </c:pt>
              </c:numCache>
            </c:numRef>
          </c:xVal>
          <c:yVal>
            <c:numRef>
              <c:f>Sheet1!$I$29:$I$39</c:f>
              <c:numCache>
                <c:formatCode>0.00</c:formatCode>
                <c:ptCount val="11"/>
                <c:pt idx="0">
                  <c:v>-42.615365605380475</c:v>
                </c:pt>
                <c:pt idx="1">
                  <c:v>-29.319477878877297</c:v>
                </c:pt>
                <c:pt idx="2">
                  <c:v>-22.68607880167859</c:v>
                </c:pt>
                <c:pt idx="3">
                  <c:v>-15.545670577048334</c:v>
                </c:pt>
                <c:pt idx="4">
                  <c:v>-11.70053304058364</c:v>
                </c:pt>
                <c:pt idx="5">
                  <c:v>-8.2233654881158547</c:v>
                </c:pt>
                <c:pt idx="6">
                  <c:v>-5.1612184454160213</c:v>
                </c:pt>
                <c:pt idx="7">
                  <c:v>-3.5305154165939783</c:v>
                </c:pt>
                <c:pt idx="8">
                  <c:v>-2.545223450546624</c:v>
                </c:pt>
                <c:pt idx="9">
                  <c:v>-1.9382002601611279</c:v>
                </c:pt>
                <c:pt idx="10">
                  <c:v>-1.2296054964701622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51-4678-AA69-7F541A9E2DEA}"/>
            </c:ext>
          </c:extLst>
        </c:ser>
        <c:ser>
          <c:idx val="2"/>
          <c:order val="2"/>
          <c:tx>
            <c:v>Au (dB) 160Hz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Sheet1!$E$29:$E$39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  <c:pt idx="10">
                  <c:v>400</c:v>
                </c:pt>
              </c:numCache>
            </c:numRef>
          </c:xVal>
          <c:yVal>
            <c:numRef>
              <c:f>Sheet1!$K$29:$K$39</c:f>
              <c:numCache>
                <c:formatCode>0.00</c:formatCode>
                <c:ptCount val="11"/>
                <c:pt idx="0">
                  <c:v>-71.700533040583636</c:v>
                </c:pt>
                <c:pt idx="1">
                  <c:v>-60.35457533920863</c:v>
                </c:pt>
                <c:pt idx="2">
                  <c:v>-49.3704216591549</c:v>
                </c:pt>
                <c:pt idx="3">
                  <c:v>-35.809699709147381</c:v>
                </c:pt>
                <c:pt idx="4">
                  <c:v>-27.091554613018161</c:v>
                </c:pt>
                <c:pt idx="5">
                  <c:v>-18.061799739838872</c:v>
                </c:pt>
                <c:pt idx="6">
                  <c:v>-8.4501640032554945</c:v>
                </c:pt>
                <c:pt idx="7">
                  <c:v>-3.2735176858649657</c:v>
                </c:pt>
                <c:pt idx="8">
                  <c:v>-1.1103465569966273</c:v>
                </c:pt>
                <c:pt idx="9">
                  <c:v>-0.37268981842911209</c:v>
                </c:pt>
                <c:pt idx="10">
                  <c:v>-5.2272312053733803E-2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51-4678-AA69-7F541A9E2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890184"/>
        <c:axId val="1043892232"/>
      </c:scatterChart>
      <c:valAx>
        <c:axId val="104389018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92232"/>
        <c:crosses val="autoZero"/>
        <c:crossBetween val="midCat"/>
      </c:valAx>
      <c:valAx>
        <c:axId val="104389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90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Sheet1!$G$43</c:f>
              <c:strCache>
                <c:ptCount val="1"/>
                <c:pt idx="0">
                  <c:v>Au 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Sheet1!$E$44:$E$49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  <c:pt idx="4">
                  <c:v>-3</c:v>
                </c:pt>
                <c:pt idx="5">
                  <c:v>-6</c:v>
                </c:pt>
              </c:numCache>
            </c:numRef>
          </c:xVal>
          <c:yVal>
            <c:numRef>
              <c:f>Sheet1!$G$44:$G$49</c:f>
              <c:numCache>
                <c:formatCode>0.00</c:formatCode>
                <c:ptCount val="6"/>
                <c:pt idx="0">
                  <c:v>9.0049821663872205</c:v>
                </c:pt>
                <c:pt idx="1">
                  <c:v>6.0205999132796242</c:v>
                </c:pt>
                <c:pt idx="2">
                  <c:v>3.0335246169409542</c:v>
                </c:pt>
                <c:pt idx="3">
                  <c:v>6.9210642190129776E-2</c:v>
                </c:pt>
                <c:pt idx="4">
                  <c:v>-2.9260357644765129</c:v>
                </c:pt>
                <c:pt idx="5">
                  <c:v>-5.8827257543216147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4-454D-B83D-C0C80AD8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460167"/>
        <c:axId val="2018489863"/>
      </c:scatterChart>
      <c:valAx>
        <c:axId val="2018460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89863"/>
        <c:crosses val="autoZero"/>
        <c:crossBetween val="midCat"/>
      </c:valAx>
      <c:valAx>
        <c:axId val="2018489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60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(dB) 80Hz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Sheet1!$E$60:$E$69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</c:numCache>
            </c:numRef>
          </c:xVal>
          <c:yVal>
            <c:numRef>
              <c:f>Sheet1!$G$60:$G$69</c:f>
              <c:numCache>
                <c:formatCode>0.00</c:formatCode>
                <c:ptCount val="10"/>
                <c:pt idx="0">
                  <c:v>-2.36090057320799</c:v>
                </c:pt>
                <c:pt idx="1">
                  <c:v>-0.80010323343167611</c:v>
                </c:pt>
                <c:pt idx="2">
                  <c:v>-0.42726103231051349</c:v>
                </c:pt>
                <c:pt idx="3">
                  <c:v>-0.4638332532386753</c:v>
                </c:pt>
                <c:pt idx="4">
                  <c:v>-2.4525730826045189</c:v>
                </c:pt>
                <c:pt idx="5">
                  <c:v>-8.4043280676637959</c:v>
                </c:pt>
                <c:pt idx="6">
                  <c:v>-17.965058521072674</c:v>
                </c:pt>
                <c:pt idx="7">
                  <c:v>-25.161218445416019</c:v>
                </c:pt>
                <c:pt idx="8">
                  <c:v>-30.872679337419136</c:v>
                </c:pt>
                <c:pt idx="9">
                  <c:v>-35.535274537940047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21-4721-B436-FB49ED6CD754}"/>
            </c:ext>
          </c:extLst>
        </c:ser>
        <c:ser>
          <c:idx val="1"/>
          <c:order val="1"/>
          <c:tx>
            <c:v>Au (dB) 120Hz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Sheet1!$E$60:$E$69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</c:numCache>
            </c:numRef>
          </c:xVal>
          <c:yVal>
            <c:numRef>
              <c:f>Sheet1!$I$60:$I$69</c:f>
              <c:numCache>
                <c:formatCode>0.00</c:formatCode>
                <c:ptCount val="10"/>
                <c:pt idx="0">
                  <c:v>-2.3837281543841731</c:v>
                </c:pt>
                <c:pt idx="1">
                  <c:v>-0.80010323343167611</c:v>
                </c:pt>
                <c:pt idx="2">
                  <c:v>-0.39084215447799886</c:v>
                </c:pt>
                <c:pt idx="3">
                  <c:v>3.4674256180010625E-2</c:v>
                </c:pt>
                <c:pt idx="4">
                  <c:v>-1.7389174252577827E-2</c:v>
                </c:pt>
                <c:pt idx="5">
                  <c:v>-1.8517727845082763</c:v>
                </c:pt>
                <c:pt idx="6">
                  <c:v>-8.6359655186601003</c:v>
                </c:pt>
                <c:pt idx="7">
                  <c:v>-15.279337057647282</c:v>
                </c:pt>
                <c:pt idx="8">
                  <c:v>-20.705381578927412</c:v>
                </c:pt>
                <c:pt idx="9">
                  <c:v>-25.256147145905253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21-4721-B436-FB49ED6CD754}"/>
            </c:ext>
          </c:extLst>
        </c:ser>
        <c:ser>
          <c:idx val="2"/>
          <c:order val="2"/>
          <c:tx>
            <c:v>Au (dB) 160Hz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Sheet1!$E$60:$E$69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</c:numCache>
            </c:numRef>
          </c:xVal>
          <c:yVal>
            <c:numRef>
              <c:f>Sheet1!$K$60:$K$69</c:f>
              <c:numCache>
                <c:formatCode>0.00</c:formatCode>
                <c:ptCount val="10"/>
                <c:pt idx="0">
                  <c:v>-2.498774732165999</c:v>
                </c:pt>
                <c:pt idx="1">
                  <c:v>-0.87663139049273364</c:v>
                </c:pt>
                <c:pt idx="2">
                  <c:v>-0.40903250591809803</c:v>
                </c:pt>
                <c:pt idx="3">
                  <c:v>-0.10486110824743766</c:v>
                </c:pt>
                <c:pt idx="4">
                  <c:v>5.1959614398171892E-2</c:v>
                </c:pt>
                <c:pt idx="5">
                  <c:v>-1.7389174252577827E-2</c:v>
                </c:pt>
                <c:pt idx="6">
                  <c:v>-2.3154246073479214</c:v>
                </c:pt>
                <c:pt idx="7">
                  <c:v>-7.0523405977076035</c:v>
                </c:pt>
                <c:pt idx="8">
                  <c:v>-12.041199826559248</c:v>
                </c:pt>
                <c:pt idx="9">
                  <c:v>-16.397482496718922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21-4721-B436-FB49ED6CD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267655"/>
        <c:axId val="1658269703"/>
      </c:scatterChart>
      <c:valAx>
        <c:axId val="1658267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69703"/>
        <c:crosses val="autoZero"/>
        <c:crossBetween val="midCat"/>
      </c:valAx>
      <c:valAx>
        <c:axId val="165826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67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3</xdr:row>
      <xdr:rowOff>19050</xdr:rowOff>
    </xdr:from>
    <xdr:to>
      <xdr:col>22</xdr:col>
      <xdr:colOff>66675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D5071-2E3C-323F-4654-C98F9C85E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161925</xdr:colOff>
      <xdr:row>23</xdr:row>
      <xdr:rowOff>95250</xdr:rowOff>
    </xdr:from>
    <xdr:to>
      <xdr:col>22</xdr:col>
      <xdr:colOff>133350</xdr:colOff>
      <xdr:row>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823031-DA4F-F9A2-EDF8-8764A973F984}"/>
            </a:ext>
            <a:ext uri="{147F2762-F138-4A5C-976F-8EAC2B608ADB}">
              <a16:predDERef xmlns:a16="http://schemas.microsoft.com/office/drawing/2014/main" pred="{774D5071-2E3C-323F-4654-C98F9C85E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285750</xdr:colOff>
      <xdr:row>39</xdr:row>
      <xdr:rowOff>152400</xdr:rowOff>
    </xdr:from>
    <xdr:to>
      <xdr:col>18</xdr:col>
      <xdr:colOff>590550</xdr:colOff>
      <xdr:row>54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91A7C2-39C9-D58E-6CBA-044A2100668E}"/>
            </a:ext>
            <a:ext uri="{147F2762-F138-4A5C-976F-8EAC2B608ADB}">
              <a16:predDERef xmlns:a16="http://schemas.microsoft.com/office/drawing/2014/main" pred="{85823031-DA4F-F9A2-EDF8-8764A973F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542925</xdr:colOff>
      <xdr:row>55</xdr:row>
      <xdr:rowOff>47625</xdr:rowOff>
    </xdr:from>
    <xdr:to>
      <xdr:col>22</xdr:col>
      <xdr:colOff>466725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17C940-B70A-37EE-C59D-C39C11118532}"/>
            </a:ext>
            <a:ext uri="{147F2762-F138-4A5C-976F-8EAC2B608ADB}">
              <a16:predDERef xmlns:a16="http://schemas.microsoft.com/office/drawing/2014/main" pred="{1191A7C2-39C9-D58E-6CBA-044A21006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K69"/>
  <sheetViews>
    <sheetView tabSelected="1" topLeftCell="A44" workbookViewId="0">
      <selection activeCell="F52" sqref="F52"/>
    </sheetView>
  </sheetViews>
  <sheetFormatPr defaultRowHeight="15"/>
  <cols>
    <col min="5" max="5" width="11.140625" bestFit="1" customWidth="1"/>
  </cols>
  <sheetData>
    <row r="4" spans="4:11">
      <c r="D4" t="s">
        <v>0</v>
      </c>
    </row>
    <row r="6" spans="4:11">
      <c r="E6" t="s">
        <v>1</v>
      </c>
      <c r="F6" t="s">
        <v>2</v>
      </c>
      <c r="G6" t="s">
        <v>3</v>
      </c>
      <c r="I6" t="s">
        <v>4</v>
      </c>
      <c r="J6">
        <v>500</v>
      </c>
      <c r="K6" t="s">
        <v>5</v>
      </c>
    </row>
    <row r="7" spans="4:11">
      <c r="E7" s="2">
        <v>10</v>
      </c>
      <c r="F7">
        <v>370</v>
      </c>
      <c r="G7" s="1" cm="1">
        <f t="array" ref="G7:G23">20*LOG(F7:F23/J6)</f>
        <v>-2.6153656053804761</v>
      </c>
    </row>
    <row r="8" spans="4:11">
      <c r="E8" s="2">
        <v>15</v>
      </c>
      <c r="F8">
        <v>425</v>
      </c>
      <c r="G8" s="1">
        <v>-1.4116214857141456</v>
      </c>
    </row>
    <row r="9" spans="4:11">
      <c r="E9" s="2">
        <v>20</v>
      </c>
      <c r="F9">
        <v>450</v>
      </c>
      <c r="G9" s="1">
        <v>-0.91514981121350236</v>
      </c>
    </row>
    <row r="10" spans="4:11">
      <c r="E10" s="2">
        <v>30</v>
      </c>
      <c r="F10">
        <v>473</v>
      </c>
      <c r="G10" s="1">
        <v>-0.48217727196414517</v>
      </c>
    </row>
    <row r="11" spans="4:11">
      <c r="E11" s="2">
        <v>50</v>
      </c>
      <c r="F11">
        <v>487</v>
      </c>
      <c r="G11" s="1">
        <v>-0.22882086242768965</v>
      </c>
    </row>
    <row r="12" spans="4:11">
      <c r="E12" s="2">
        <v>70</v>
      </c>
      <c r="F12">
        <v>491</v>
      </c>
      <c r="G12" s="1">
        <v>-0.1577702442610068</v>
      </c>
    </row>
    <row r="13" spans="4:11">
      <c r="E13" s="2">
        <v>100</v>
      </c>
      <c r="F13">
        <v>493</v>
      </c>
      <c r="G13" s="1">
        <v>-0.12246170117577589</v>
      </c>
    </row>
    <row r="14" spans="4:11">
      <c r="E14" s="2">
        <v>200</v>
      </c>
      <c r="F14">
        <v>495</v>
      </c>
      <c r="G14" s="1">
        <v>-8.7296108049001758E-2</v>
      </c>
    </row>
    <row r="15" spans="4:11">
      <c r="E15" s="2">
        <v>500</v>
      </c>
      <c r="F15">
        <v>496</v>
      </c>
      <c r="G15" s="1">
        <v>-6.9766556916426942E-2</v>
      </c>
    </row>
    <row r="16" spans="4:11">
      <c r="E16" s="2">
        <v>700</v>
      </c>
      <c r="F16">
        <v>496</v>
      </c>
      <c r="G16" s="1">
        <v>-6.9766556916426942E-2</v>
      </c>
    </row>
    <row r="17" spans="4:11">
      <c r="E17" s="2">
        <v>1000</v>
      </c>
      <c r="F17">
        <v>496</v>
      </c>
      <c r="G17" s="1">
        <v>-6.9766556916426942E-2</v>
      </c>
    </row>
    <row r="18" spans="4:11">
      <c r="E18" s="2">
        <v>2000</v>
      </c>
      <c r="F18">
        <v>496</v>
      </c>
      <c r="G18" s="1">
        <v>-6.9766556916426942E-2</v>
      </c>
    </row>
    <row r="19" spans="4:11">
      <c r="E19" s="2">
        <v>5000</v>
      </c>
      <c r="F19">
        <v>496</v>
      </c>
      <c r="G19" s="1">
        <v>-6.9766556916426942E-2</v>
      </c>
    </row>
    <row r="20" spans="4:11">
      <c r="E20" s="2">
        <v>7000</v>
      </c>
      <c r="F20">
        <v>496</v>
      </c>
      <c r="G20" s="1">
        <v>-6.9766556916426942E-2</v>
      </c>
    </row>
    <row r="21" spans="4:11">
      <c r="E21" s="2">
        <v>10000</v>
      </c>
      <c r="F21">
        <v>496</v>
      </c>
      <c r="G21" s="1">
        <v>-6.9766556916426942E-2</v>
      </c>
    </row>
    <row r="22" spans="4:11">
      <c r="E22" s="2">
        <v>20000</v>
      </c>
      <c r="F22">
        <v>496</v>
      </c>
      <c r="G22" s="1">
        <v>-6.9766556916426942E-2</v>
      </c>
    </row>
    <row r="23" spans="4:11">
      <c r="E23" s="2">
        <v>30000</v>
      </c>
      <c r="F23">
        <v>497</v>
      </c>
      <c r="G23" s="1">
        <v>-5.2272312053733803E-2</v>
      </c>
    </row>
    <row r="25" spans="4:11">
      <c r="D25" t="s">
        <v>6</v>
      </c>
    </row>
    <row r="27" spans="4:11">
      <c r="F27" t="s">
        <v>7</v>
      </c>
      <c r="H27" t="s">
        <v>8</v>
      </c>
      <c r="J27" t="s">
        <v>9</v>
      </c>
    </row>
    <row r="28" spans="4:11">
      <c r="E28" t="s">
        <v>1</v>
      </c>
      <c r="F28" t="s">
        <v>2</v>
      </c>
      <c r="G28" t="s">
        <v>3</v>
      </c>
      <c r="H28" t="s">
        <v>2</v>
      </c>
      <c r="I28" t="s">
        <v>3</v>
      </c>
      <c r="J28" t="s">
        <v>2</v>
      </c>
      <c r="K28" t="s">
        <v>3</v>
      </c>
    </row>
    <row r="29" spans="4:11">
      <c r="E29">
        <v>10</v>
      </c>
      <c r="F29">
        <v>0.6</v>
      </c>
      <c r="G29" s="1" cm="1">
        <f t="array" ref="G29:G39">20*LOG(F29:F39/J6)</f>
        <v>-58.416375079047505</v>
      </c>
      <c r="H29">
        <v>3.7</v>
      </c>
      <c r="I29" s="1" cm="1">
        <f t="array" ref="I29:I39">20*LOG(H29:H39/J6)</f>
        <v>-42.615365605380475</v>
      </c>
      <c r="J29">
        <v>0.13</v>
      </c>
      <c r="K29" s="1" cm="1">
        <f t="array" ref="K29:K39">20*LOG(J29:J39/J6)</f>
        <v>-71.700533040583636</v>
      </c>
    </row>
    <row r="30" spans="4:11">
      <c r="E30">
        <v>20</v>
      </c>
      <c r="F30">
        <v>5.6</v>
      </c>
      <c r="G30" s="1">
        <v>-39.015639546596368</v>
      </c>
      <c r="H30">
        <v>17.100000000000001</v>
      </c>
      <c r="I30" s="1">
        <v>-29.319477878877297</v>
      </c>
      <c r="J30">
        <v>0.48</v>
      </c>
      <c r="K30" s="1">
        <v>-60.35457533920863</v>
      </c>
    </row>
    <row r="31" spans="4:11">
      <c r="E31">
        <v>30</v>
      </c>
      <c r="F31">
        <v>19.600000000000001</v>
      </c>
      <c r="G31" s="1">
        <v>-28.134278659590851</v>
      </c>
      <c r="H31">
        <v>36.700000000000003</v>
      </c>
      <c r="I31" s="1">
        <v>-22.68607880167859</v>
      </c>
      <c r="J31">
        <v>1.7</v>
      </c>
      <c r="K31" s="1">
        <v>-49.3704216591549</v>
      </c>
    </row>
    <row r="32" spans="4:11">
      <c r="E32">
        <v>50</v>
      </c>
      <c r="F32">
        <v>88.3</v>
      </c>
      <c r="G32" s="1">
        <v>-15.060186015169004</v>
      </c>
      <c r="H32">
        <v>83.5</v>
      </c>
      <c r="I32" s="1">
        <v>-15.545670577048334</v>
      </c>
      <c r="J32">
        <v>8.1</v>
      </c>
      <c r="K32" s="1">
        <v>-35.809699709147381</v>
      </c>
    </row>
    <row r="33" spans="4:11">
      <c r="E33">
        <v>70</v>
      </c>
      <c r="F33">
        <v>215</v>
      </c>
      <c r="G33" s="1">
        <v>-7.3306308884082689</v>
      </c>
      <c r="H33">
        <v>130</v>
      </c>
      <c r="I33" s="1">
        <v>-11.70053304058364</v>
      </c>
      <c r="J33">
        <v>22.1</v>
      </c>
      <c r="K33" s="1">
        <v>-27.091554613018161</v>
      </c>
    </row>
    <row r="34" spans="4:11">
      <c r="E34">
        <v>100</v>
      </c>
      <c r="F34">
        <v>404</v>
      </c>
      <c r="G34" s="1">
        <v>-1.8517727845082763</v>
      </c>
      <c r="H34">
        <v>194</v>
      </c>
      <c r="I34" s="1">
        <v>-8.2233654881158547</v>
      </c>
      <c r="J34">
        <v>62.5</v>
      </c>
      <c r="K34" s="1">
        <v>-18.061799739838872</v>
      </c>
    </row>
    <row r="35" spans="4:11">
      <c r="E35">
        <v>150</v>
      </c>
      <c r="F35">
        <v>493</v>
      </c>
      <c r="G35" s="1">
        <v>-0.12246170117577589</v>
      </c>
      <c r="H35">
        <v>276</v>
      </c>
      <c r="I35" s="1">
        <v>-5.1612184454160213</v>
      </c>
      <c r="J35">
        <v>189</v>
      </c>
      <c r="K35" s="1">
        <v>-8.4501640032554945</v>
      </c>
    </row>
    <row r="36" spans="4:11">
      <c r="E36">
        <v>200</v>
      </c>
      <c r="F36">
        <v>500</v>
      </c>
      <c r="G36" s="1">
        <v>0</v>
      </c>
      <c r="H36">
        <v>333</v>
      </c>
      <c r="I36" s="1">
        <v>-3.5305154165939783</v>
      </c>
      <c r="J36">
        <v>343</v>
      </c>
      <c r="K36" s="1">
        <v>-3.2735176858649657</v>
      </c>
    </row>
    <row r="37" spans="4:11">
      <c r="E37">
        <v>250</v>
      </c>
      <c r="F37">
        <v>499</v>
      </c>
      <c r="G37" s="1">
        <v>-1.7389174252577827E-2</v>
      </c>
      <c r="H37">
        <v>373</v>
      </c>
      <c r="I37" s="1">
        <v>-2.545223450546624</v>
      </c>
      <c r="J37">
        <v>440</v>
      </c>
      <c r="K37" s="1">
        <v>-1.1103465569966273</v>
      </c>
    </row>
    <row r="38" spans="4:11">
      <c r="E38">
        <v>300</v>
      </c>
      <c r="F38">
        <v>497</v>
      </c>
      <c r="G38" s="1">
        <v>-5.2272312053733803E-2</v>
      </c>
      <c r="H38">
        <v>400</v>
      </c>
      <c r="I38" s="1">
        <v>-1.9382002601611279</v>
      </c>
      <c r="J38">
        <v>479</v>
      </c>
      <c r="K38" s="1">
        <v>-0.37268981842911209</v>
      </c>
    </row>
    <row r="39" spans="4:11">
      <c r="E39">
        <v>400</v>
      </c>
      <c r="F39">
        <v>495</v>
      </c>
      <c r="G39" s="1">
        <v>-8.7296108049001758E-2</v>
      </c>
      <c r="H39">
        <v>434</v>
      </c>
      <c r="I39" s="1">
        <v>-1.2296054964701622</v>
      </c>
      <c r="J39">
        <v>497</v>
      </c>
      <c r="K39" s="1">
        <v>-5.2272312053733803E-2</v>
      </c>
    </row>
    <row r="41" spans="4:11">
      <c r="D41" t="s">
        <v>10</v>
      </c>
    </row>
    <row r="43" spans="4:11">
      <c r="E43" t="s">
        <v>11</v>
      </c>
      <c r="F43" t="s">
        <v>2</v>
      </c>
      <c r="G43" t="s">
        <v>3</v>
      </c>
    </row>
    <row r="44" spans="4:11">
      <c r="E44">
        <v>9</v>
      </c>
      <c r="F44">
        <v>1410</v>
      </c>
      <c r="G44" s="1" cm="1">
        <f t="array" ref="G44:G49">20*LOG(F44:F49/J6)</f>
        <v>9.0049821663872205</v>
      </c>
    </row>
    <row r="45" spans="4:11">
      <c r="E45">
        <v>6</v>
      </c>
      <c r="F45">
        <v>1000</v>
      </c>
      <c r="G45" s="1">
        <v>6.0205999132796242</v>
      </c>
    </row>
    <row r="46" spans="4:11">
      <c r="E46">
        <v>3</v>
      </c>
      <c r="F46">
        <v>709</v>
      </c>
      <c r="G46" s="1">
        <v>3.0335246169409542</v>
      </c>
    </row>
    <row r="47" spans="4:11">
      <c r="E47">
        <v>0</v>
      </c>
      <c r="F47">
        <v>504</v>
      </c>
      <c r="G47" s="1">
        <v>6.9210642190129776E-2</v>
      </c>
    </row>
    <row r="48" spans="4:11">
      <c r="E48">
        <v>-3</v>
      </c>
      <c r="F48">
        <v>357</v>
      </c>
      <c r="G48" s="1">
        <v>-2.9260357644765129</v>
      </c>
    </row>
    <row r="49" spans="4:11">
      <c r="E49">
        <v>-6</v>
      </c>
      <c r="F49">
        <v>254</v>
      </c>
      <c r="G49" s="1">
        <v>-5.8827257543216147</v>
      </c>
    </row>
    <row r="56" spans="4:11">
      <c r="D56" t="s">
        <v>12</v>
      </c>
    </row>
    <row r="58" spans="4:11">
      <c r="F58" t="s">
        <v>7</v>
      </c>
      <c r="H58" t="s">
        <v>8</v>
      </c>
      <c r="J58" t="s">
        <v>9</v>
      </c>
    </row>
    <row r="59" spans="4:11">
      <c r="E59" t="s">
        <v>1</v>
      </c>
      <c r="F59" t="s">
        <v>2</v>
      </c>
      <c r="G59" t="s">
        <v>3</v>
      </c>
      <c r="H59" t="s">
        <v>2</v>
      </c>
      <c r="I59" t="s">
        <v>3</v>
      </c>
      <c r="J59" t="s">
        <v>2</v>
      </c>
      <c r="K59" t="s">
        <v>3</v>
      </c>
    </row>
    <row r="60" spans="4:11">
      <c r="E60">
        <v>10</v>
      </c>
      <c r="F60">
        <v>381</v>
      </c>
      <c r="G60" s="1" cm="1">
        <f t="array" ref="G60:G69">20*LOG(F60:F69/J6)</f>
        <v>-2.36090057320799</v>
      </c>
      <c r="H60">
        <v>380</v>
      </c>
      <c r="I60" s="1" cm="1">
        <f t="array" ref="I60:I69">20*LOG(H60:H69/J6)</f>
        <v>-2.3837281543841731</v>
      </c>
      <c r="J60">
        <v>375</v>
      </c>
      <c r="K60" s="1" cm="1">
        <f t="array" ref="K60:K69">20*LOG(J60:J69/J6)</f>
        <v>-2.498774732165999</v>
      </c>
    </row>
    <row r="61" spans="4:11">
      <c r="E61">
        <v>20</v>
      </c>
      <c r="F61">
        <v>456</v>
      </c>
      <c r="G61" s="1">
        <v>-0.80010323343167611</v>
      </c>
      <c r="H61">
        <v>456</v>
      </c>
      <c r="I61" s="1">
        <v>-0.80010323343167611</v>
      </c>
      <c r="J61">
        <v>452</v>
      </c>
      <c r="K61" s="1">
        <v>-0.87663139049273364</v>
      </c>
    </row>
    <row r="62" spans="4:11">
      <c r="E62">
        <v>30</v>
      </c>
      <c r="F62">
        <v>476</v>
      </c>
      <c r="G62" s="1">
        <v>-0.42726103231051349</v>
      </c>
      <c r="H62">
        <v>478</v>
      </c>
      <c r="I62" s="1">
        <v>-0.39084215447799886</v>
      </c>
      <c r="J62">
        <v>477</v>
      </c>
      <c r="K62" s="1">
        <v>-0.40903250591809803</v>
      </c>
    </row>
    <row r="63" spans="4:11">
      <c r="E63">
        <v>50</v>
      </c>
      <c r="F63">
        <v>474</v>
      </c>
      <c r="G63" s="1">
        <v>-0.4638332532386753</v>
      </c>
      <c r="H63">
        <v>502</v>
      </c>
      <c r="I63" s="1">
        <v>3.4674256180010625E-2</v>
      </c>
      <c r="J63">
        <v>494</v>
      </c>
      <c r="K63" s="1">
        <v>-0.10486110824743766</v>
      </c>
    </row>
    <row r="64" spans="4:11">
      <c r="E64">
        <v>70</v>
      </c>
      <c r="F64">
        <v>377</v>
      </c>
      <c r="G64" s="1">
        <v>-2.4525730826045189</v>
      </c>
      <c r="H64">
        <v>499</v>
      </c>
      <c r="I64" s="1">
        <v>-1.7389174252577827E-2</v>
      </c>
      <c r="J64">
        <v>503</v>
      </c>
      <c r="K64" s="1">
        <v>5.1959614398171892E-2</v>
      </c>
    </row>
    <row r="65" spans="5:11">
      <c r="E65">
        <v>100</v>
      </c>
      <c r="F65">
        <v>190</v>
      </c>
      <c r="G65" s="1">
        <v>-8.4043280676637959</v>
      </c>
      <c r="H65">
        <v>404</v>
      </c>
      <c r="I65" s="1">
        <v>-1.8517727845082763</v>
      </c>
      <c r="J65">
        <v>499</v>
      </c>
      <c r="K65" s="1">
        <v>-1.7389174252577827E-2</v>
      </c>
    </row>
    <row r="66" spans="5:11">
      <c r="E66">
        <v>150</v>
      </c>
      <c r="F66">
        <v>63.2</v>
      </c>
      <c r="G66" s="1">
        <v>-17.965058521072674</v>
      </c>
      <c r="H66">
        <v>185</v>
      </c>
      <c r="I66" s="1">
        <v>-8.6359655186601003</v>
      </c>
      <c r="J66">
        <v>383</v>
      </c>
      <c r="K66" s="1">
        <v>-2.3154246073479214</v>
      </c>
    </row>
    <row r="67" spans="5:11">
      <c r="E67">
        <v>200</v>
      </c>
      <c r="F67">
        <v>27.6</v>
      </c>
      <c r="G67" s="1">
        <v>-25.161218445416019</v>
      </c>
      <c r="H67">
        <v>86.1</v>
      </c>
      <c r="I67" s="1">
        <v>-15.279337057647282</v>
      </c>
      <c r="J67">
        <v>222</v>
      </c>
      <c r="K67" s="1">
        <v>-7.0523405977076035</v>
      </c>
    </row>
    <row r="68" spans="5:11">
      <c r="E68">
        <v>250</v>
      </c>
      <c r="F68">
        <v>14.3</v>
      </c>
      <c r="G68" s="1">
        <v>-30.872679337419136</v>
      </c>
      <c r="H68">
        <v>46.1</v>
      </c>
      <c r="I68" s="1">
        <v>-20.705381578927412</v>
      </c>
      <c r="J68">
        <v>125</v>
      </c>
      <c r="K68" s="1">
        <v>-12.041199826559248</v>
      </c>
    </row>
    <row r="69" spans="5:11">
      <c r="E69">
        <v>300</v>
      </c>
      <c r="F69">
        <v>8.36</v>
      </c>
      <c r="G69" s="1">
        <v>-35.535274537940047</v>
      </c>
      <c r="H69">
        <v>27.3</v>
      </c>
      <c r="I69" s="1">
        <v>-25.256147145905253</v>
      </c>
      <c r="J69">
        <v>75.7</v>
      </c>
      <c r="K69" s="1">
        <v>-16.397482496718922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2026-03-10T10:05:49Z</dcterms:created>
  <dcterms:modified xsi:type="dcterms:W3CDTF">2026-03-10T12:26:33Z</dcterms:modified>
  <cp:category/>
  <cp:contentStatus/>
</cp:coreProperties>
</file>