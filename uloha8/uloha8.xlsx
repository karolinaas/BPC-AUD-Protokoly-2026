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97BE298F-38F3-498C-AE09-92964A8D4F5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" l="1"/>
  <c r="E67" i="1" s="1"/>
  <c r="G6" i="1" a="1"/>
  <c r="G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<sst xmlns="http://schemas.openxmlformats.org/spreadsheetml/2006/main" count="43" uniqueCount="24">
  <si>
    <t>1. Měření modulové kmitočtové  charakteristiky</t>
  </si>
  <si>
    <t>Stopa</t>
  </si>
  <si>
    <t>f [Hz]</t>
  </si>
  <si>
    <t>U2 [V]</t>
  </si>
  <si>
    <t>AU [dB]</t>
  </si>
  <si>
    <t>U1 =</t>
  </si>
  <si>
    <t>V</t>
  </si>
  <si>
    <t xml:space="preserve"> </t>
  </si>
  <si>
    <t>3. Měření separace obou kanálů</t>
  </si>
  <si>
    <t>UR [dB]</t>
  </si>
  <si>
    <t>UL [dB]</t>
  </si>
  <si>
    <t>4. Kontrola linearity D/A převodníku přehrávače</t>
  </si>
  <si>
    <t>U1 [dB]</t>
  </si>
  <si>
    <t>U2L [dB]</t>
  </si>
  <si>
    <t>U2R [dB]</t>
  </si>
  <si>
    <t>5. Měření odstupu signálu od šumu S/N</t>
  </si>
  <si>
    <t xml:space="preserve">N = </t>
  </si>
  <si>
    <t xml:space="preserve">S = </t>
  </si>
  <si>
    <t xml:space="preserve">S/N = </t>
  </si>
  <si>
    <t>(absolutní hodnota)</t>
  </si>
  <si>
    <t>dB (v logaritmické míře)</t>
  </si>
  <si>
    <t>6. Měření harmonického zkreslení THD</t>
  </si>
  <si>
    <t>THD [%]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</si>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</sst>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AU [dB]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Sheet1!$E$7:$E$37</c:f>
              <c:numCache>
                <c:formatCode>General</c:formatCode>
                <c:ptCount val="31"/>
                <c:pt idx="0">
                  <c:v>20</c:v>
                </c:pt>
                <c:pt idx="1">
                  <c:v>25</c:v>
                </c:pt>
                <c:pt idx="2">
                  <c:v>31.5</c:v>
                </c:pt>
                <c:pt idx="3">
                  <c:v>40</c:v>
                </c:pt>
                <c:pt idx="4">
                  <c:v>50</c:v>
                </c:pt>
                <c:pt idx="5">
                  <c:v>63</c:v>
                </c:pt>
                <c:pt idx="6">
                  <c:v>80</c:v>
                </c:pt>
                <c:pt idx="7">
                  <c:v>100</c:v>
                </c:pt>
                <c:pt idx="8">
                  <c:v>125</c:v>
                </c:pt>
                <c:pt idx="9">
                  <c:v>160</c:v>
                </c:pt>
                <c:pt idx="10">
                  <c:v>200</c:v>
                </c:pt>
                <c:pt idx="11">
                  <c:v>250</c:v>
                </c:pt>
                <c:pt idx="12">
                  <c:v>315</c:v>
                </c:pt>
                <c:pt idx="13">
                  <c:v>400</c:v>
                </c:pt>
                <c:pt idx="14">
                  <c:v>500</c:v>
                </c:pt>
                <c:pt idx="15">
                  <c:v>630</c:v>
                </c:pt>
                <c:pt idx="16">
                  <c:v>800</c:v>
                </c:pt>
                <c:pt idx="17">
                  <c:v>1000</c:v>
                </c:pt>
                <c:pt idx="18">
                  <c:v>1250</c:v>
                </c:pt>
                <c:pt idx="19">
                  <c:v>1600</c:v>
                </c:pt>
                <c:pt idx="20">
                  <c:v>2000</c:v>
                </c:pt>
                <c:pt idx="21">
                  <c:v>2500</c:v>
                </c:pt>
                <c:pt idx="22">
                  <c:v>3150</c:v>
                </c:pt>
                <c:pt idx="23">
                  <c:v>4000</c:v>
                </c:pt>
                <c:pt idx="24">
                  <c:v>5000</c:v>
                </c:pt>
                <c:pt idx="25">
                  <c:v>6300</c:v>
                </c:pt>
                <c:pt idx="26">
                  <c:v>8000</c:v>
                </c:pt>
                <c:pt idx="27">
                  <c:v>10000</c:v>
                </c:pt>
                <c:pt idx="28">
                  <c:v>12500</c:v>
                </c:pt>
                <c:pt idx="29">
                  <c:v>16000</c:v>
                </c:pt>
                <c:pt idx="30">
                  <c:v>20000</c:v>
                </c:pt>
              </c:numCache>
            </c:numRef>
          </c:xVal>
          <c:yVal>
            <c:numRef>
              <c:f>Sheet1!$G$7:$G$37</c:f>
              <c:numCache>
                <c:formatCode>0.000</c:formatCode>
                <c:ptCount val="31"/>
                <c:pt idx="0">
                  <c:v>-0.10486110824743766</c:v>
                </c:pt>
                <c:pt idx="1">
                  <c:v>-8.7296108049001758E-2</c:v>
                </c:pt>
                <c:pt idx="2">
                  <c:v>-8.7296108049001758E-2</c:v>
                </c:pt>
                <c:pt idx="3">
                  <c:v>-7.8526910294493518E-2</c:v>
                </c:pt>
                <c:pt idx="4">
                  <c:v>-7.8526910294493518E-2</c:v>
                </c:pt>
                <c:pt idx="5">
                  <c:v>-7.8526910294493518E-2</c:v>
                </c:pt>
                <c:pt idx="6">
                  <c:v>-7.8526910294493518E-2</c:v>
                </c:pt>
                <c:pt idx="7">
                  <c:v>-7.8526910294493518E-2</c:v>
                </c:pt>
                <c:pt idx="8">
                  <c:v>-7.8526910294493518E-2</c:v>
                </c:pt>
                <c:pt idx="9">
                  <c:v>-6.9766556916426942E-2</c:v>
                </c:pt>
                <c:pt idx="10">
                  <c:v>-6.9766556916426942E-2</c:v>
                </c:pt>
                <c:pt idx="11">
                  <c:v>-6.9766556916426942E-2</c:v>
                </c:pt>
                <c:pt idx="12">
                  <c:v>-6.9766556916426942E-2</c:v>
                </c:pt>
                <c:pt idx="13">
                  <c:v>-6.9766556916426942E-2</c:v>
                </c:pt>
                <c:pt idx="14">
                  <c:v>-6.9766556916426942E-2</c:v>
                </c:pt>
                <c:pt idx="15">
                  <c:v>-6.1015030092376535E-2</c:v>
                </c:pt>
                <c:pt idx="16">
                  <c:v>-6.9766556916426942E-2</c:v>
                </c:pt>
                <c:pt idx="17">
                  <c:v>-6.9766556916426942E-2</c:v>
                </c:pt>
                <c:pt idx="18">
                  <c:v>-6.9766556916426942E-2</c:v>
                </c:pt>
                <c:pt idx="19">
                  <c:v>-7.8526910294493518E-2</c:v>
                </c:pt>
                <c:pt idx="20">
                  <c:v>-7.8526910294493518E-2</c:v>
                </c:pt>
                <c:pt idx="21">
                  <c:v>-8.7296108049001758E-2</c:v>
                </c:pt>
                <c:pt idx="22">
                  <c:v>-7.8526910294493518E-2</c:v>
                </c:pt>
                <c:pt idx="23">
                  <c:v>-8.7296108049001758E-2</c:v>
                </c:pt>
                <c:pt idx="24">
                  <c:v>-0.10486110824743766</c:v>
                </c:pt>
                <c:pt idx="25">
                  <c:v>-0.10486110824743766</c:v>
                </c:pt>
                <c:pt idx="26">
                  <c:v>-0.14009803137316978</c:v>
                </c:pt>
                <c:pt idx="27">
                  <c:v>-0.18434616393724368</c:v>
                </c:pt>
                <c:pt idx="28">
                  <c:v>-0.23774319463296198</c:v>
                </c:pt>
                <c:pt idx="29">
                  <c:v>-0.37268981842911209</c:v>
                </c:pt>
                <c:pt idx="30">
                  <c:v>-0.63034102892129729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5-4DE6-950E-ABA277DA5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490503"/>
        <c:axId val="584492551"/>
      </c:scatterChart>
      <c:valAx>
        <c:axId val="584490503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92551"/>
        <c:crosses val="autoZero"/>
        <c:crossBetween val="midCat"/>
      </c:valAx>
      <c:valAx>
        <c:axId val="584492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90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Sheet1!$F$51</c:f>
              <c:strCache>
                <c:ptCount val="1"/>
                <c:pt idx="0">
                  <c:v>U2L [dB]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Sheet1!$E$52:$E$60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-3</c:v>
                </c:pt>
                <c:pt idx="3">
                  <c:v>-6</c:v>
                </c:pt>
                <c:pt idx="4">
                  <c:v>-10</c:v>
                </c:pt>
                <c:pt idx="5">
                  <c:v>-20</c:v>
                </c:pt>
                <c:pt idx="6">
                  <c:v>-60</c:v>
                </c:pt>
                <c:pt idx="7">
                  <c:v>-80</c:v>
                </c:pt>
                <c:pt idx="8">
                  <c:v>-90</c:v>
                </c:pt>
              </c:numCache>
            </c:numRef>
          </c:xVal>
          <c:yVal>
            <c:numRef>
              <c:f>Sheet1!$F$52:$F$60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-3</c:v>
                </c:pt>
                <c:pt idx="3">
                  <c:v>-6</c:v>
                </c:pt>
                <c:pt idx="4">
                  <c:v>-10</c:v>
                </c:pt>
                <c:pt idx="5">
                  <c:v>-20</c:v>
                </c:pt>
                <c:pt idx="6">
                  <c:v>-58.83</c:v>
                </c:pt>
                <c:pt idx="7">
                  <c:v>-67.97</c:v>
                </c:pt>
                <c:pt idx="8">
                  <c:v>-68.319999999999993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98-4CEF-A494-5C956B944EB8}"/>
            </c:ext>
          </c:extLst>
        </c:ser>
        <c:ser>
          <c:idx val="1"/>
          <c:order val="1"/>
          <c:tx>
            <c:strRef>
              <c:f>Sheet1!$G$51</c:f>
              <c:strCache>
                <c:ptCount val="1"/>
                <c:pt idx="0">
                  <c:v>U2R [dB]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Sheet1!$E$52:$E$60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-3</c:v>
                </c:pt>
                <c:pt idx="3">
                  <c:v>-6</c:v>
                </c:pt>
                <c:pt idx="4">
                  <c:v>-10</c:v>
                </c:pt>
                <c:pt idx="5">
                  <c:v>-20</c:v>
                </c:pt>
                <c:pt idx="6">
                  <c:v>-60</c:v>
                </c:pt>
                <c:pt idx="7">
                  <c:v>-80</c:v>
                </c:pt>
                <c:pt idx="8">
                  <c:v>-90</c:v>
                </c:pt>
              </c:numCache>
            </c:numRef>
          </c:xVal>
          <c:yVal>
            <c:numRef>
              <c:f>Sheet1!$G$52:$G$60</c:f>
              <c:numCache>
                <c:formatCode>General</c:formatCode>
                <c:ptCount val="9"/>
                <c:pt idx="0">
                  <c:v>0.08</c:v>
                </c:pt>
                <c:pt idx="1">
                  <c:v>-0.92</c:v>
                </c:pt>
                <c:pt idx="2">
                  <c:v>-2.92</c:v>
                </c:pt>
                <c:pt idx="3">
                  <c:v>-5.92</c:v>
                </c:pt>
                <c:pt idx="4">
                  <c:v>-9.92</c:v>
                </c:pt>
                <c:pt idx="5">
                  <c:v>-19.920000000000002</c:v>
                </c:pt>
                <c:pt idx="6">
                  <c:v>-58.68</c:v>
                </c:pt>
                <c:pt idx="7">
                  <c:v>-67.66</c:v>
                </c:pt>
                <c:pt idx="8">
                  <c:v>-67.92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98-4CEF-A494-5C956B944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788872"/>
        <c:axId val="1795264519"/>
      </c:scatterChart>
      <c:valAx>
        <c:axId val="1978788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264519"/>
        <c:crosses val="autoZero"/>
        <c:crossBetween val="midCat"/>
        <c:majorUnit val="10"/>
      </c:valAx>
      <c:valAx>
        <c:axId val="1795264519"/>
        <c:scaling>
          <c:orientation val="minMax"/>
          <c:max val="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788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6</xdr:row>
      <xdr:rowOff>85725</xdr:rowOff>
    </xdr:from>
    <xdr:to>
      <xdr:col>23</xdr:col>
      <xdr:colOff>304800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FCC84-CFE8-235D-9C9D-916383EB4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40</xdr:row>
      <xdr:rowOff>66675</xdr:rowOff>
    </xdr:from>
    <xdr:to>
      <xdr:col>18</xdr:col>
      <xdr:colOff>495300</xdr:colOff>
      <xdr:row>63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A9D6E8-FB9F-2DA1-7A3D-EA806728E646}"/>
            </a:ext>
            <a:ext uri="{147F2762-F138-4A5C-976F-8EAC2B608ADB}">
              <a16:predDERef xmlns:a16="http://schemas.microsoft.com/office/drawing/2014/main" pred="{CB1FCC84-CFE8-235D-9C9D-916383EB4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F81"/>
  <sheetViews>
    <sheetView tabSelected="1" topLeftCell="A63" workbookViewId="0">
      <selection activeCell="E73" sqref="E73:E81"/>
    </sheetView>
  </sheetViews>
  <sheetFormatPr defaultRowHeight="15"/>
  <sheetData>
    <row r="3" spans="3:32">
      <c r="C3" t="s">
        <v>0</v>
      </c>
    </row>
    <row r="5" spans="3:32">
      <c r="D5" t="s">
        <v>1</v>
      </c>
      <c r="E5" t="s">
        <v>2</v>
      </c>
      <c r="F5" t="s">
        <v>3</v>
      </c>
      <c r="G5" t="s">
        <v>4</v>
      </c>
      <c r="I5" t="s">
        <v>5</v>
      </c>
      <c r="J5">
        <v>1</v>
      </c>
      <c r="K5" t="s">
        <v>6</v>
      </c>
      <c r="Y5" t="s">
        <v>1</v>
      </c>
      <c r="Z5" t="s">
        <v>2</v>
      </c>
      <c r="AA5" t="s">
        <v>3</v>
      </c>
      <c r="AB5" t="s">
        <v>4</v>
      </c>
      <c r="AC5" t="s">
        <v>1</v>
      </c>
      <c r="AD5" t="s">
        <v>2</v>
      </c>
      <c r="AE5" t="s">
        <v>3</v>
      </c>
      <c r="AF5" t="s">
        <v>4</v>
      </c>
    </row>
    <row r="6" spans="3:32">
      <c r="D6">
        <v>6</v>
      </c>
      <c r="E6">
        <v>1000</v>
      </c>
      <c r="F6" s="2">
        <v>0.99199999999999999</v>
      </c>
      <c r="G6" s="2" cm="1">
        <f t="array" ref="G6:G37">20*LOG(F6:F37/J5)</f>
        <v>-6.9766556916426942E-2</v>
      </c>
      <c r="Y6">
        <v>6</v>
      </c>
      <c r="Z6">
        <v>1000</v>
      </c>
      <c r="AA6" s="2">
        <v>0.99199999999999999</v>
      </c>
      <c r="AB6" s="2">
        <v>-6.9766556916426942E-2</v>
      </c>
      <c r="AC6">
        <v>22</v>
      </c>
      <c r="AD6">
        <v>630</v>
      </c>
      <c r="AE6" s="2">
        <v>0.99299999999999999</v>
      </c>
      <c r="AF6" s="2">
        <v>-6.1015030092376535E-2</v>
      </c>
    </row>
    <row r="7" spans="3:32">
      <c r="D7">
        <v>7</v>
      </c>
      <c r="E7">
        <v>20</v>
      </c>
      <c r="F7" s="2">
        <v>0.98799999999999999</v>
      </c>
      <c r="G7" s="2">
        <v>-0.10486110824743766</v>
      </c>
      <c r="Y7">
        <v>7</v>
      </c>
      <c r="Z7">
        <v>20</v>
      </c>
      <c r="AA7" s="2">
        <v>0.98799999999999999</v>
      </c>
      <c r="AB7" s="2">
        <v>-0.10486110824743766</v>
      </c>
      <c r="AC7">
        <v>23</v>
      </c>
      <c r="AD7">
        <v>800</v>
      </c>
      <c r="AE7" s="2">
        <v>0.99199999999999999</v>
      </c>
      <c r="AF7" s="2">
        <v>-6.9766556916426942E-2</v>
      </c>
    </row>
    <row r="8" spans="3:32">
      <c r="D8">
        <v>8</v>
      </c>
      <c r="E8">
        <v>25</v>
      </c>
      <c r="F8" s="2">
        <v>0.99</v>
      </c>
      <c r="G8" s="2">
        <v>-8.7296108049001758E-2</v>
      </c>
      <c r="Y8">
        <v>8</v>
      </c>
      <c r="Z8">
        <v>25</v>
      </c>
      <c r="AA8" s="2">
        <v>0.99</v>
      </c>
      <c r="AB8" s="2">
        <v>-8.7296108049001758E-2</v>
      </c>
      <c r="AC8">
        <v>24</v>
      </c>
      <c r="AD8">
        <v>1000</v>
      </c>
      <c r="AE8" s="2">
        <v>0.99199999999999999</v>
      </c>
      <c r="AF8" s="2">
        <v>-6.9766556916426942E-2</v>
      </c>
    </row>
    <row r="9" spans="3:32">
      <c r="D9">
        <v>9</v>
      </c>
      <c r="E9">
        <v>31.5</v>
      </c>
      <c r="F9" s="2">
        <v>0.99</v>
      </c>
      <c r="G9" s="2">
        <v>-8.7296108049001758E-2</v>
      </c>
      <c r="Y9">
        <v>9</v>
      </c>
      <c r="Z9">
        <v>31.5</v>
      </c>
      <c r="AA9" s="2">
        <v>0.99</v>
      </c>
      <c r="AB9" s="2">
        <v>-8.7296108049001758E-2</v>
      </c>
      <c r="AC9">
        <v>25</v>
      </c>
      <c r="AD9">
        <v>1250</v>
      </c>
      <c r="AE9" s="2">
        <v>0.99199999999999999</v>
      </c>
      <c r="AF9" s="2">
        <v>-6.9766556916426942E-2</v>
      </c>
    </row>
    <row r="10" spans="3:32">
      <c r="D10">
        <v>10</v>
      </c>
      <c r="E10">
        <v>40</v>
      </c>
      <c r="F10" s="2">
        <v>0.99099999999999999</v>
      </c>
      <c r="G10" s="2">
        <v>-7.8526910294493518E-2</v>
      </c>
      <c r="Y10">
        <v>10</v>
      </c>
      <c r="Z10">
        <v>40</v>
      </c>
      <c r="AA10" s="2">
        <v>0.99099999999999999</v>
      </c>
      <c r="AB10" s="2">
        <v>-7.8526910294493518E-2</v>
      </c>
      <c r="AC10">
        <v>26</v>
      </c>
      <c r="AD10">
        <v>1600</v>
      </c>
      <c r="AE10" s="2">
        <v>0.99099999999999999</v>
      </c>
      <c r="AF10" s="2">
        <v>-7.8526910294493518E-2</v>
      </c>
    </row>
    <row r="11" spans="3:32">
      <c r="D11">
        <v>11</v>
      </c>
      <c r="E11">
        <v>50</v>
      </c>
      <c r="F11" s="2">
        <v>0.99099999999999999</v>
      </c>
      <c r="G11" s="2">
        <v>-7.8526910294493518E-2</v>
      </c>
      <c r="Y11">
        <v>11</v>
      </c>
      <c r="Z11">
        <v>50</v>
      </c>
      <c r="AA11" s="2">
        <v>0.99099999999999999</v>
      </c>
      <c r="AB11" s="2">
        <v>-7.8526910294493518E-2</v>
      </c>
      <c r="AC11">
        <v>27</v>
      </c>
      <c r="AD11">
        <v>2000</v>
      </c>
      <c r="AE11" s="2">
        <v>0.99099999999999999</v>
      </c>
      <c r="AF11" s="2">
        <v>-7.8526910294493518E-2</v>
      </c>
    </row>
    <row r="12" spans="3:32">
      <c r="D12">
        <v>12</v>
      </c>
      <c r="E12">
        <v>63</v>
      </c>
      <c r="F12" s="2">
        <v>0.99099999999999999</v>
      </c>
      <c r="G12" s="2">
        <v>-7.8526910294493518E-2</v>
      </c>
      <c r="Y12">
        <v>12</v>
      </c>
      <c r="Z12">
        <v>63</v>
      </c>
      <c r="AA12" s="2">
        <v>0.99099999999999999</v>
      </c>
      <c r="AB12" s="2">
        <v>-7.8526910294493518E-2</v>
      </c>
      <c r="AC12">
        <v>28</v>
      </c>
      <c r="AD12">
        <v>2500</v>
      </c>
      <c r="AE12" s="2">
        <v>0.99</v>
      </c>
      <c r="AF12" s="2">
        <v>-8.7296108049001758E-2</v>
      </c>
    </row>
    <row r="13" spans="3:32">
      <c r="D13">
        <v>13</v>
      </c>
      <c r="E13">
        <v>80</v>
      </c>
      <c r="F13" s="2">
        <v>0.99099999999999999</v>
      </c>
      <c r="G13" s="2">
        <v>-7.8526910294493518E-2</v>
      </c>
      <c r="Y13">
        <v>13</v>
      </c>
      <c r="Z13">
        <v>80</v>
      </c>
      <c r="AA13" s="2">
        <v>0.99099999999999999</v>
      </c>
      <c r="AB13" s="2">
        <v>-7.8526910294493518E-2</v>
      </c>
      <c r="AC13">
        <v>29</v>
      </c>
      <c r="AD13">
        <v>3150</v>
      </c>
      <c r="AE13" s="2">
        <v>0.99099999999999999</v>
      </c>
      <c r="AF13" s="2">
        <v>-7.8526910294493518E-2</v>
      </c>
    </row>
    <row r="14" spans="3:32">
      <c r="D14">
        <v>14</v>
      </c>
      <c r="E14">
        <v>100</v>
      </c>
      <c r="F14" s="2">
        <v>0.99099999999999999</v>
      </c>
      <c r="G14" s="2">
        <v>-7.8526910294493518E-2</v>
      </c>
      <c r="Y14">
        <v>14</v>
      </c>
      <c r="Z14">
        <v>100</v>
      </c>
      <c r="AA14" s="2">
        <v>0.99099999999999999</v>
      </c>
      <c r="AB14" s="2">
        <v>-7.8526910294493518E-2</v>
      </c>
      <c r="AC14">
        <v>30</v>
      </c>
      <c r="AD14">
        <v>4000</v>
      </c>
      <c r="AE14" s="2">
        <v>0.99</v>
      </c>
      <c r="AF14" s="2">
        <v>-8.7296108049001758E-2</v>
      </c>
    </row>
    <row r="15" spans="3:32">
      <c r="D15">
        <v>15</v>
      </c>
      <c r="E15">
        <v>125</v>
      </c>
      <c r="F15" s="2">
        <v>0.99099999999999999</v>
      </c>
      <c r="G15" s="2">
        <v>-7.8526910294493518E-2</v>
      </c>
      <c r="Y15">
        <v>15</v>
      </c>
      <c r="Z15">
        <v>125</v>
      </c>
      <c r="AA15" s="2">
        <v>0.99099999999999999</v>
      </c>
      <c r="AB15" s="2">
        <v>-7.8526910294493518E-2</v>
      </c>
      <c r="AC15">
        <v>31</v>
      </c>
      <c r="AD15">
        <v>5000</v>
      </c>
      <c r="AE15" s="2">
        <v>0.98799999999999999</v>
      </c>
      <c r="AF15" s="2">
        <v>-0.10486110824743766</v>
      </c>
    </row>
    <row r="16" spans="3:32">
      <c r="D16">
        <v>16</v>
      </c>
      <c r="E16">
        <v>160</v>
      </c>
      <c r="F16" s="2">
        <v>0.99199999999999999</v>
      </c>
      <c r="G16" s="2">
        <v>-6.9766556916426942E-2</v>
      </c>
      <c r="Y16">
        <v>16</v>
      </c>
      <c r="Z16">
        <v>160</v>
      </c>
      <c r="AA16" s="2">
        <v>0.99199999999999999</v>
      </c>
      <c r="AB16" s="2">
        <v>-6.9766556916426942E-2</v>
      </c>
      <c r="AC16">
        <v>32</v>
      </c>
      <c r="AD16">
        <v>6300</v>
      </c>
      <c r="AE16" s="2">
        <v>0.98799999999999999</v>
      </c>
      <c r="AF16" s="2">
        <v>-0.10486110824743766</v>
      </c>
    </row>
    <row r="17" spans="4:32">
      <c r="D17">
        <v>17</v>
      </c>
      <c r="E17">
        <v>200</v>
      </c>
      <c r="F17" s="2">
        <v>0.99199999999999999</v>
      </c>
      <c r="G17" s="2">
        <v>-6.9766556916426942E-2</v>
      </c>
      <c r="Y17">
        <v>17</v>
      </c>
      <c r="Z17">
        <v>200</v>
      </c>
      <c r="AA17" s="2">
        <v>0.99199999999999999</v>
      </c>
      <c r="AB17" s="2">
        <v>-6.9766556916426942E-2</v>
      </c>
      <c r="AC17">
        <v>33</v>
      </c>
      <c r="AD17">
        <v>8000</v>
      </c>
      <c r="AE17" s="2">
        <v>0.98399999999999999</v>
      </c>
      <c r="AF17" s="2">
        <v>-0.14009803137316978</v>
      </c>
    </row>
    <row r="18" spans="4:32">
      <c r="D18">
        <v>18</v>
      </c>
      <c r="E18">
        <v>250</v>
      </c>
      <c r="F18" s="2">
        <v>0.99199999999999999</v>
      </c>
      <c r="G18" s="2">
        <v>-6.9766556916426942E-2</v>
      </c>
      <c r="Y18">
        <v>18</v>
      </c>
      <c r="Z18">
        <v>250</v>
      </c>
      <c r="AA18" s="2">
        <v>0.99199999999999999</v>
      </c>
      <c r="AB18" s="2">
        <v>-6.9766556916426942E-2</v>
      </c>
      <c r="AC18">
        <v>34</v>
      </c>
      <c r="AD18">
        <v>10000</v>
      </c>
      <c r="AE18" s="2">
        <v>0.97899999999999998</v>
      </c>
      <c r="AF18" s="2">
        <v>-0.18434616393724368</v>
      </c>
    </row>
    <row r="19" spans="4:32">
      <c r="D19">
        <v>19</v>
      </c>
      <c r="E19">
        <v>315</v>
      </c>
      <c r="F19" s="2">
        <v>0.99199999999999999</v>
      </c>
      <c r="G19" s="2">
        <v>-6.9766556916426942E-2</v>
      </c>
      <c r="Y19">
        <v>19</v>
      </c>
      <c r="Z19">
        <v>315</v>
      </c>
      <c r="AA19" s="2">
        <v>0.99199999999999999</v>
      </c>
      <c r="AB19" s="2">
        <v>-6.9766556916426942E-2</v>
      </c>
      <c r="AC19">
        <v>35</v>
      </c>
      <c r="AD19">
        <v>12500</v>
      </c>
      <c r="AE19" s="2">
        <v>0.97299999999999998</v>
      </c>
      <c r="AF19" s="2">
        <v>-0.23774319463296198</v>
      </c>
    </row>
    <row r="20" spans="4:32">
      <c r="D20">
        <v>20</v>
      </c>
      <c r="E20">
        <v>400</v>
      </c>
      <c r="F20" s="2">
        <v>0.99199999999999999</v>
      </c>
      <c r="G20" s="2">
        <v>-6.9766556916426942E-2</v>
      </c>
      <c r="Y20">
        <v>20</v>
      </c>
      <c r="Z20">
        <v>400</v>
      </c>
      <c r="AA20" s="2">
        <v>0.99199999999999999</v>
      </c>
      <c r="AB20" s="2">
        <v>-6.9766556916426942E-2</v>
      </c>
      <c r="AC20">
        <v>36</v>
      </c>
      <c r="AD20">
        <v>16000</v>
      </c>
      <c r="AE20" s="2">
        <v>0.95799999999999996</v>
      </c>
      <c r="AF20" s="2">
        <v>-0.37268981842911209</v>
      </c>
    </row>
    <row r="21" spans="4:32">
      <c r="D21">
        <v>21</v>
      </c>
      <c r="E21">
        <v>500</v>
      </c>
      <c r="F21" s="2">
        <v>0.99199999999999999</v>
      </c>
      <c r="G21" s="2">
        <v>-6.9766556916426942E-2</v>
      </c>
      <c r="Y21">
        <v>21</v>
      </c>
      <c r="Z21">
        <v>500</v>
      </c>
      <c r="AA21" s="2">
        <v>0.99199999999999999</v>
      </c>
      <c r="AB21" s="2">
        <v>-6.9766556916426942E-2</v>
      </c>
      <c r="AC21">
        <v>37</v>
      </c>
      <c r="AD21">
        <v>20000</v>
      </c>
      <c r="AE21" s="2">
        <v>0.93</v>
      </c>
      <c r="AF21" s="2">
        <v>-0.63034102892129729</v>
      </c>
    </row>
    <row r="22" spans="4:32">
      <c r="D22">
        <v>22</v>
      </c>
      <c r="E22">
        <v>630</v>
      </c>
      <c r="F22" s="2">
        <v>0.99299999999999999</v>
      </c>
      <c r="G22" s="2">
        <v>-6.1015030092376535E-2</v>
      </c>
    </row>
    <row r="23" spans="4:32">
      <c r="D23">
        <v>23</v>
      </c>
      <c r="E23">
        <v>800</v>
      </c>
      <c r="F23" s="2">
        <v>0.99199999999999999</v>
      </c>
      <c r="G23" s="2">
        <v>-6.9766556916426942E-2</v>
      </c>
    </row>
    <row r="24" spans="4:32">
      <c r="D24">
        <v>24</v>
      </c>
      <c r="E24">
        <v>1000</v>
      </c>
      <c r="F24" s="2">
        <v>0.99199999999999999</v>
      </c>
      <c r="G24" s="2">
        <v>-6.9766556916426942E-2</v>
      </c>
    </row>
    <row r="25" spans="4:32">
      <c r="D25">
        <v>25</v>
      </c>
      <c r="E25">
        <v>1250</v>
      </c>
      <c r="F25" s="2">
        <v>0.99199999999999999</v>
      </c>
      <c r="G25" s="2">
        <v>-6.9766556916426942E-2</v>
      </c>
    </row>
    <row r="26" spans="4:32">
      <c r="D26">
        <v>26</v>
      </c>
      <c r="E26">
        <v>1600</v>
      </c>
      <c r="F26" s="2">
        <v>0.99099999999999999</v>
      </c>
      <c r="G26" s="2">
        <v>-7.8526910294493518E-2</v>
      </c>
    </row>
    <row r="27" spans="4:32">
      <c r="D27">
        <v>27</v>
      </c>
      <c r="E27">
        <v>2000</v>
      </c>
      <c r="F27" s="2">
        <v>0.99099999999999999</v>
      </c>
      <c r="G27" s="2">
        <v>-7.8526910294493518E-2</v>
      </c>
    </row>
    <row r="28" spans="4:32">
      <c r="D28">
        <v>28</v>
      </c>
      <c r="E28">
        <v>2500</v>
      </c>
      <c r="F28" s="2">
        <v>0.99</v>
      </c>
      <c r="G28" s="2">
        <v>-8.7296108049001758E-2</v>
      </c>
    </row>
    <row r="29" spans="4:32">
      <c r="D29">
        <v>29</v>
      </c>
      <c r="E29">
        <v>3150</v>
      </c>
      <c r="F29" s="2">
        <v>0.99099999999999999</v>
      </c>
      <c r="G29" s="2">
        <v>-7.8526910294493518E-2</v>
      </c>
    </row>
    <row r="30" spans="4:32">
      <c r="D30">
        <v>30</v>
      </c>
      <c r="E30">
        <v>4000</v>
      </c>
      <c r="F30" s="2">
        <v>0.99</v>
      </c>
      <c r="G30" s="2">
        <v>-8.7296108049001758E-2</v>
      </c>
    </row>
    <row r="31" spans="4:32">
      <c r="D31">
        <v>31</v>
      </c>
      <c r="E31">
        <v>5000</v>
      </c>
      <c r="F31" s="2">
        <v>0.98799999999999999</v>
      </c>
      <c r="G31" s="2">
        <v>-0.10486110824743766</v>
      </c>
    </row>
    <row r="32" spans="4:32">
      <c r="D32">
        <v>32</v>
      </c>
      <c r="E32">
        <v>6300</v>
      </c>
      <c r="F32" s="2">
        <v>0.98799999999999999</v>
      </c>
      <c r="G32" s="2">
        <v>-0.10486110824743766</v>
      </c>
    </row>
    <row r="33" spans="3:7">
      <c r="D33">
        <v>33</v>
      </c>
      <c r="E33">
        <v>8000</v>
      </c>
      <c r="F33" s="2">
        <v>0.98399999999999999</v>
      </c>
      <c r="G33" s="2">
        <v>-0.14009803137316978</v>
      </c>
    </row>
    <row r="34" spans="3:7">
      <c r="D34">
        <v>34</v>
      </c>
      <c r="E34">
        <v>10000</v>
      </c>
      <c r="F34" s="2">
        <v>0.97899999999999998</v>
      </c>
      <c r="G34" s="2">
        <v>-0.18434616393724368</v>
      </c>
    </row>
    <row r="35" spans="3:7">
      <c r="D35">
        <v>35</v>
      </c>
      <c r="E35">
        <v>12500</v>
      </c>
      <c r="F35" s="2">
        <v>0.97299999999999998</v>
      </c>
      <c r="G35" s="2">
        <v>-0.23774319463296198</v>
      </c>
    </row>
    <row r="36" spans="3:7">
      <c r="D36">
        <v>36</v>
      </c>
      <c r="E36">
        <v>16000</v>
      </c>
      <c r="F36" s="2">
        <v>0.95799999999999996</v>
      </c>
      <c r="G36" s="2">
        <v>-0.37268981842911209</v>
      </c>
    </row>
    <row r="37" spans="3:7">
      <c r="D37">
        <v>37</v>
      </c>
      <c r="E37">
        <v>20000</v>
      </c>
      <c r="F37" s="2">
        <v>0.93</v>
      </c>
      <c r="G37" s="2">
        <v>-0.63034102892129729</v>
      </c>
    </row>
    <row r="38" spans="3:7">
      <c r="F38" t="s">
        <v>7</v>
      </c>
    </row>
    <row r="40" spans="3:7">
      <c r="C40" t="s">
        <v>8</v>
      </c>
    </row>
    <row r="42" spans="3:7">
      <c r="D42" t="s">
        <v>1</v>
      </c>
      <c r="E42" t="s">
        <v>2</v>
      </c>
      <c r="F42" t="s">
        <v>9</v>
      </c>
      <c r="G42" t="s">
        <v>10</v>
      </c>
    </row>
    <row r="43" spans="3:7">
      <c r="D43">
        <v>29</v>
      </c>
      <c r="E43">
        <v>100</v>
      </c>
      <c r="F43">
        <v>0</v>
      </c>
      <c r="G43">
        <v>-68.05</v>
      </c>
    </row>
    <row r="44" spans="3:7">
      <c r="D44">
        <v>30</v>
      </c>
      <c r="E44">
        <v>1000</v>
      </c>
      <c r="F44">
        <v>0</v>
      </c>
      <c r="G44">
        <v>-67.989999999999995</v>
      </c>
    </row>
    <row r="45" spans="3:7">
      <c r="D45">
        <v>31</v>
      </c>
      <c r="E45">
        <v>10000</v>
      </c>
      <c r="F45">
        <v>0</v>
      </c>
      <c r="G45">
        <v>-67.69</v>
      </c>
    </row>
    <row r="46" spans="3:7">
      <c r="D46">
        <v>32</v>
      </c>
      <c r="E46">
        <v>20000</v>
      </c>
      <c r="F46">
        <v>0</v>
      </c>
      <c r="G46">
        <v>-66.66</v>
      </c>
    </row>
    <row r="49" spans="3:7">
      <c r="C49" t="s">
        <v>11</v>
      </c>
    </row>
    <row r="51" spans="3:7">
      <c r="D51" t="s">
        <v>1</v>
      </c>
      <c r="E51" t="s">
        <v>12</v>
      </c>
      <c r="F51" t="s">
        <v>13</v>
      </c>
      <c r="G51" t="s">
        <v>14</v>
      </c>
    </row>
    <row r="52" spans="3:7">
      <c r="D52">
        <v>14</v>
      </c>
      <c r="E52">
        <v>0</v>
      </c>
      <c r="F52">
        <v>0</v>
      </c>
      <c r="G52">
        <v>0.08</v>
      </c>
    </row>
    <row r="53" spans="3:7">
      <c r="D53">
        <v>15</v>
      </c>
      <c r="E53">
        <v>-1</v>
      </c>
      <c r="F53">
        <v>-1</v>
      </c>
      <c r="G53">
        <v>-0.92</v>
      </c>
    </row>
    <row r="54" spans="3:7">
      <c r="D54">
        <v>16</v>
      </c>
      <c r="E54">
        <v>-3</v>
      </c>
      <c r="F54">
        <v>-3</v>
      </c>
      <c r="G54">
        <v>-2.92</v>
      </c>
    </row>
    <row r="55" spans="3:7">
      <c r="D55">
        <v>17</v>
      </c>
      <c r="E55">
        <v>-6</v>
      </c>
      <c r="F55">
        <v>-6</v>
      </c>
      <c r="G55">
        <v>-5.92</v>
      </c>
    </row>
    <row r="56" spans="3:7">
      <c r="D56">
        <v>18</v>
      </c>
      <c r="E56">
        <v>-10</v>
      </c>
      <c r="F56">
        <v>-10</v>
      </c>
      <c r="G56">
        <v>-9.92</v>
      </c>
    </row>
    <row r="57" spans="3:7">
      <c r="D57">
        <v>19</v>
      </c>
      <c r="E57">
        <v>-20</v>
      </c>
      <c r="F57">
        <v>-20</v>
      </c>
      <c r="G57">
        <v>-19.920000000000002</v>
      </c>
    </row>
    <row r="58" spans="3:7">
      <c r="D58">
        <v>20</v>
      </c>
      <c r="E58">
        <v>-60</v>
      </c>
      <c r="F58">
        <v>-58.83</v>
      </c>
      <c r="G58">
        <v>-58.68</v>
      </c>
    </row>
    <row r="59" spans="3:7">
      <c r="D59">
        <v>21</v>
      </c>
      <c r="E59">
        <v>-80</v>
      </c>
      <c r="F59">
        <v>-67.97</v>
      </c>
      <c r="G59">
        <v>-67.66</v>
      </c>
    </row>
    <row r="60" spans="3:7">
      <c r="D60">
        <v>22</v>
      </c>
      <c r="E60">
        <v>-90</v>
      </c>
      <c r="F60">
        <v>-68.319999999999993</v>
      </c>
      <c r="G60">
        <v>-67.92</v>
      </c>
    </row>
    <row r="63" spans="3:7">
      <c r="C63" t="s">
        <v>15</v>
      </c>
    </row>
    <row r="65" spans="3:11">
      <c r="D65" t="s">
        <v>16</v>
      </c>
      <c r="E65" s="3">
        <v>8.0000000000000004E-4</v>
      </c>
      <c r="F65" t="s">
        <v>6</v>
      </c>
      <c r="H65" t="s">
        <v>7</v>
      </c>
      <c r="I65" t="s">
        <v>17</v>
      </c>
      <c r="J65">
        <v>2.0750000000000002</v>
      </c>
      <c r="K65" t="s">
        <v>6</v>
      </c>
    </row>
    <row r="66" spans="3:11">
      <c r="D66" t="s">
        <v>18</v>
      </c>
      <c r="E66" s="1">
        <f>J65/E65</f>
        <v>2593.75</v>
      </c>
      <c r="F66" t="s">
        <v>19</v>
      </c>
    </row>
    <row r="67" spans="3:11">
      <c r="D67" t="s">
        <v>18</v>
      </c>
      <c r="E67" s="1">
        <f>20*LOG(E66)</f>
        <v>68.278562281123357</v>
      </c>
      <c r="F67" t="s">
        <v>20</v>
      </c>
    </row>
    <row r="70" spans="3:11">
      <c r="C70" t="s">
        <v>21</v>
      </c>
    </row>
    <row r="72" spans="3:11">
      <c r="D72" t="s">
        <v>1</v>
      </c>
      <c r="E72" t="s">
        <v>12</v>
      </c>
      <c r="F72" t="s">
        <v>22</v>
      </c>
    </row>
    <row r="73" spans="3:11">
      <c r="D73">
        <v>14</v>
      </c>
      <c r="E73">
        <v>0</v>
      </c>
      <c r="F73">
        <v>2.2000000000000001E-3</v>
      </c>
    </row>
    <row r="74" spans="3:11">
      <c r="D74">
        <v>15</v>
      </c>
      <c r="E74">
        <v>-1</v>
      </c>
      <c r="F74">
        <v>2.3999999999999998E-3</v>
      </c>
    </row>
    <row r="75" spans="3:11">
      <c r="D75">
        <v>16</v>
      </c>
      <c r="E75">
        <v>-3</v>
      </c>
      <c r="F75">
        <v>3.0000000000000001E-3</v>
      </c>
    </row>
    <row r="76" spans="3:11">
      <c r="D76">
        <v>17</v>
      </c>
      <c r="E76">
        <v>-6</v>
      </c>
      <c r="F76">
        <v>3.8999999999999998E-3</v>
      </c>
    </row>
    <row r="77" spans="3:11">
      <c r="D77">
        <v>18</v>
      </c>
      <c r="E77">
        <v>-10</v>
      </c>
      <c r="F77">
        <v>6.7000000000000002E-3</v>
      </c>
    </row>
    <row r="78" spans="3:11">
      <c r="D78">
        <v>19</v>
      </c>
      <c r="E78">
        <v>-20</v>
      </c>
      <c r="F78">
        <v>1.9599999999999999E-2</v>
      </c>
    </row>
    <row r="79" spans="3:11">
      <c r="D79">
        <v>20</v>
      </c>
      <c r="E79">
        <v>-58.83</v>
      </c>
      <c r="F79" t="s">
        <v>23</v>
      </c>
    </row>
    <row r="80" spans="3:11">
      <c r="D80">
        <v>21</v>
      </c>
      <c r="E80">
        <v>-67.97</v>
      </c>
      <c r="F80" t="s">
        <v>23</v>
      </c>
    </row>
    <row r="81" spans="4:6">
      <c r="D81">
        <v>22</v>
      </c>
      <c r="E81">
        <v>-68.319999999999993</v>
      </c>
      <c r="F8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2026-04-14T09:11:22Z</dcterms:created>
  <dcterms:modified xsi:type="dcterms:W3CDTF">2026-04-20T08:16:40Z</dcterms:modified>
  <cp:category/>
  <cp:contentStatus/>
</cp:coreProperties>
</file>