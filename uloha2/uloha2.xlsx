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2D3395FC-196D-42BE-8CC1-23B1B07891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 a="1"/>
  <c r="I6" i="1"/>
  <c r="G6" i="1" a="1"/>
  <c r="G6" i="1"/>
  <c r="G94" i="1" a="1"/>
  <c r="G94" i="1"/>
  <c r="E94" i="1" a="1"/>
  <c r="E94" i="1"/>
  <c r="G76" i="1" a="1"/>
  <c r="G76" i="1"/>
  <c r="E76" i="1" a="1"/>
  <c r="E76" i="1"/>
  <c r="G51" i="1" a="1"/>
  <c r="G51" i="1"/>
  <c r="E51" i="1" a="1"/>
  <c r="E51" i="1"/>
  <c r="G33" i="1" a="1"/>
  <c r="G33" i="1"/>
  <c r="E33" i="1" a="1"/>
  <c r="E33" i="1"/>
  <c r="E6" i="1" a="1"/>
  <c r="E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<sst xmlns="http://schemas.openxmlformats.org/spreadsheetml/2006/main" count="59" uniqueCount="38">
  <si>
    <t>1 modulova kmitoctova char</t>
  </si>
  <si>
    <t>f (Hz)</t>
  </si>
  <si>
    <t>Levý kanál</t>
  </si>
  <si>
    <t>Lineární korekce</t>
  </si>
  <si>
    <t>Korekce H+ a V+</t>
  </si>
  <si>
    <t>Korekce H- a V-</t>
  </si>
  <si>
    <t>U1</t>
  </si>
  <si>
    <t>mV</t>
  </si>
  <si>
    <t>U2 (mV)</t>
  </si>
  <si>
    <t>Au (dB)</t>
  </si>
  <si>
    <t>3 zavislost regulace hlasitosti</t>
  </si>
  <si>
    <t>hlasitost</t>
  </si>
  <si>
    <t>U2 loud (mV)</t>
  </si>
  <si>
    <t>4. frekvencni zavislost funkce fysiologicke regulace</t>
  </si>
  <si>
    <t>linearni regulace</t>
  </si>
  <si>
    <t>loudness</t>
  </si>
  <si>
    <t>6. zavislost regulace vyvazeni</t>
  </si>
  <si>
    <t>levy kanal</t>
  </si>
  <si>
    <t>pravy kanal</t>
  </si>
  <si>
    <t>vyvazeni</t>
  </si>
  <si>
    <t>U2L (mV)</t>
  </si>
  <si>
    <t>U2P (mV)</t>
  </si>
  <si>
    <t>7. zmerte preslechy signaly mezi kanaly</t>
  </si>
  <si>
    <t>Levý kanál U1 -&gt; Pravý kanál</t>
  </si>
  <si>
    <t>Pravý kanýl U1 -&gt; Levý kanál</t>
  </si>
  <si>
    <t>Přeslech (dB)</t>
  </si>
  <si>
    <t>8. vstupni odpor pripravku</t>
  </si>
  <si>
    <t>Rvst L =</t>
  </si>
  <si>
    <t>kOhm</t>
  </si>
  <si>
    <t>Rvst P =</t>
  </si>
  <si>
    <t>9. harmonicke zkresleni</t>
  </si>
  <si>
    <t>Kanál</t>
  </si>
  <si>
    <t>k2 (%)</t>
  </si>
  <si>
    <t>k3 (%)</t>
  </si>
  <si>
    <t>THD+N (%)</t>
  </si>
  <si>
    <t>Levý</t>
  </si>
  <si>
    <t>0.0075</t>
  </si>
  <si>
    <t>Pravý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</si>
</sst>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Sheet1!$E$3:$E$5</c:f>
              <c:strCache>
                <c:ptCount val="3"/>
                <c:pt idx="0">
                  <c:v>Levý kanál</c:v>
                </c:pt>
                <c:pt idx="1">
                  <c:v>Lineární korekce</c:v>
                </c:pt>
                <c:pt idx="2">
                  <c:v>Au (dB)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Sheet1!$C$6:$C$23</c:f>
              <c:numCache>
                <c:formatCode>General</c:formatCode>
                <c:ptCount val="18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700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5000</c:v>
                </c:pt>
                <c:pt idx="13">
                  <c:v>7000</c:v>
                </c:pt>
                <c:pt idx="14">
                  <c:v>10000</c:v>
                </c:pt>
                <c:pt idx="15">
                  <c:v>20000</c:v>
                </c:pt>
                <c:pt idx="16">
                  <c:v>30000</c:v>
                </c:pt>
                <c:pt idx="17">
                  <c:v>50000</c:v>
                </c:pt>
              </c:numCache>
            </c:numRef>
          </c:xVal>
          <c:yVal>
            <c:numRef>
              <c:f>Sheet1!$E$6:$E$23</c:f>
              <c:numCache>
                <c:formatCode>0.00</c:formatCode>
                <c:ptCount val="18"/>
                <c:pt idx="0">
                  <c:v>-2.931531424032241</c:v>
                </c:pt>
                <c:pt idx="1">
                  <c:v>-2.0085317346178706</c:v>
                </c:pt>
                <c:pt idx="2">
                  <c:v>-1.3165494667201845</c:v>
                </c:pt>
                <c:pt idx="3">
                  <c:v>-0.98391216099104939</c:v>
                </c:pt>
                <c:pt idx="4">
                  <c:v>-0.67565093677020327</c:v>
                </c:pt>
                <c:pt idx="5">
                  <c:v>-0.25013452611219467</c:v>
                </c:pt>
                <c:pt idx="6">
                  <c:v>-0.11280534705385392</c:v>
                </c:pt>
                <c:pt idx="7">
                  <c:v>-4.4946489107066029E-2</c:v>
                </c:pt>
                <c:pt idx="8">
                  <c:v>-1.1214836468354276E-2</c:v>
                </c:pt>
                <c:pt idx="9">
                  <c:v>0</c:v>
                </c:pt>
                <c:pt idx="10">
                  <c:v>-6.7507254097584582E-2</c:v>
                </c:pt>
                <c:pt idx="11">
                  <c:v>-0.19264993748513534</c:v>
                </c:pt>
                <c:pt idx="12">
                  <c:v>-0.49581242895836902</c:v>
                </c:pt>
                <c:pt idx="13">
                  <c:v>-0.74864203553088027</c:v>
                </c:pt>
                <c:pt idx="14">
                  <c:v>-0.98391216099104939</c:v>
                </c:pt>
                <c:pt idx="15">
                  <c:v>-1.2775116947697431</c:v>
                </c:pt>
                <c:pt idx="16">
                  <c:v>-1.3426724627658557</c:v>
                </c:pt>
                <c:pt idx="17">
                  <c:v>-1.3688742613322067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9C-417C-AA6B-FBD55025572E}"/>
            </c:ext>
          </c:extLst>
        </c:ser>
        <c:ser>
          <c:idx val="3"/>
          <c:order val="1"/>
          <c:tx>
            <c:strRef>
              <c:f>Sheet1!$G$3:$G$5</c:f>
              <c:strCache>
                <c:ptCount val="3"/>
                <c:pt idx="0">
                  <c:v>Levý kanál</c:v>
                </c:pt>
                <c:pt idx="1">
                  <c:v>Korekce H+ a V+</c:v>
                </c:pt>
                <c:pt idx="2">
                  <c:v>Au (dB)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Sheet1!$C$6:$C$23</c:f>
              <c:numCache>
                <c:formatCode>General</c:formatCode>
                <c:ptCount val="18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700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5000</c:v>
                </c:pt>
                <c:pt idx="13">
                  <c:v>7000</c:v>
                </c:pt>
                <c:pt idx="14">
                  <c:v>10000</c:v>
                </c:pt>
                <c:pt idx="15">
                  <c:v>20000</c:v>
                </c:pt>
                <c:pt idx="16">
                  <c:v>30000</c:v>
                </c:pt>
                <c:pt idx="17">
                  <c:v>50000</c:v>
                </c:pt>
              </c:numCache>
            </c:numRef>
          </c:xVal>
          <c:yVal>
            <c:numRef>
              <c:f>Sheet1!$G$6:$G$23</c:f>
              <c:numCache>
                <c:formatCode>0.00</c:formatCode>
                <c:ptCount val="18"/>
                <c:pt idx="0">
                  <c:v>9.9972876371644439</c:v>
                </c:pt>
                <c:pt idx="1">
                  <c:v>13.19403119038955</c:v>
                </c:pt>
                <c:pt idx="2">
                  <c:v>14.943723876941101</c:v>
                </c:pt>
                <c:pt idx="3">
                  <c:v>14.167869668384039</c:v>
                </c:pt>
                <c:pt idx="4">
                  <c:v>12.152558911338094</c:v>
                </c:pt>
                <c:pt idx="5">
                  <c:v>7.0747269235996839</c:v>
                </c:pt>
                <c:pt idx="6">
                  <c:v>4.2213768522250517</c:v>
                </c:pt>
                <c:pt idx="7">
                  <c:v>1.4043334893337596</c:v>
                </c:pt>
                <c:pt idx="8">
                  <c:v>0.31908692484281898</c:v>
                </c:pt>
                <c:pt idx="9">
                  <c:v>0</c:v>
                </c:pt>
                <c:pt idx="10">
                  <c:v>1.8140333815487206</c:v>
                </c:pt>
                <c:pt idx="11">
                  <c:v>3.8696733562027958</c:v>
                </c:pt>
                <c:pt idx="12">
                  <c:v>6.7201515843910524</c:v>
                </c:pt>
                <c:pt idx="13">
                  <c:v>8.3638867081380521</c:v>
                </c:pt>
                <c:pt idx="14">
                  <c:v>9.7819239688365478</c:v>
                </c:pt>
                <c:pt idx="15">
                  <c:v>11.341286612454656</c:v>
                </c:pt>
                <c:pt idx="16">
                  <c:v>11.727389716362387</c:v>
                </c:pt>
                <c:pt idx="17">
                  <c:v>11.956733459417524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B9C-417C-AA6B-FBD55025572E}"/>
            </c:ext>
          </c:extLst>
        </c:ser>
        <c:ser>
          <c:idx val="5"/>
          <c:order val="2"/>
          <c:tx>
            <c:strRef>
              <c:f>Sheet1!$I$3:$I$5</c:f>
              <c:strCache>
                <c:ptCount val="3"/>
                <c:pt idx="0">
                  <c:v>Levý kanál</c:v>
                </c:pt>
                <c:pt idx="1">
                  <c:v>Korekce H- a V-</c:v>
                </c:pt>
                <c:pt idx="2">
                  <c:v>Au (dB)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Sheet1!$C$6:$C$23</c:f>
              <c:numCache>
                <c:formatCode>General</c:formatCode>
                <c:ptCount val="18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700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5000</c:v>
                </c:pt>
                <c:pt idx="13">
                  <c:v>7000</c:v>
                </c:pt>
                <c:pt idx="14">
                  <c:v>10000</c:v>
                </c:pt>
                <c:pt idx="15">
                  <c:v>20000</c:v>
                </c:pt>
                <c:pt idx="16">
                  <c:v>30000</c:v>
                </c:pt>
                <c:pt idx="17">
                  <c:v>50000</c:v>
                </c:pt>
              </c:numCache>
            </c:numRef>
          </c:xVal>
          <c:yVal>
            <c:numRef>
              <c:f>Sheet1!$I$6:$I$23</c:f>
              <c:numCache>
                <c:formatCode>0.00</c:formatCode>
                <c:ptCount val="18"/>
                <c:pt idx="0">
                  <c:v>-19.944141996316599</c:v>
                </c:pt>
                <c:pt idx="1">
                  <c:v>-18.5102775032151</c:v>
                </c:pt>
                <c:pt idx="2">
                  <c:v>-16.422316815202972</c:v>
                </c:pt>
                <c:pt idx="3">
                  <c:v>-14.558674005426708</c:v>
                </c:pt>
                <c:pt idx="4">
                  <c:v>-12.256797966661324</c:v>
                </c:pt>
                <c:pt idx="5">
                  <c:v>-7.2334360326994336</c:v>
                </c:pt>
                <c:pt idx="6">
                  <c:v>-4.3811169886437256</c:v>
                </c:pt>
                <c:pt idx="7">
                  <c:v>-1.4877704246247279</c:v>
                </c:pt>
                <c:pt idx="8">
                  <c:v>-0.34290859516034883</c:v>
                </c:pt>
                <c:pt idx="9">
                  <c:v>0</c:v>
                </c:pt>
                <c:pt idx="10">
                  <c:v>-1.9522210697238462</c:v>
                </c:pt>
                <c:pt idx="11">
                  <c:v>-4.2888112353699741</c:v>
                </c:pt>
                <c:pt idx="12">
                  <c:v>-7.7102203889825827</c:v>
                </c:pt>
                <c:pt idx="13">
                  <c:v>-9.8620471082114793</c:v>
                </c:pt>
                <c:pt idx="14">
                  <c:v>-11.722112901716429</c:v>
                </c:pt>
                <c:pt idx="15">
                  <c:v>-13.812892311037754</c:v>
                </c:pt>
                <c:pt idx="16">
                  <c:v>-14.322308681880724</c:v>
                </c:pt>
                <c:pt idx="17">
                  <c:v>-14.618784208221211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B9C-417C-AA6B-FBD550255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962247"/>
        <c:axId val="1925964295"/>
      </c:scatterChart>
      <c:valAx>
        <c:axId val="1925962247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64295"/>
        <c:crosses val="autoZero"/>
        <c:crossBetween val="midCat"/>
      </c:valAx>
      <c:valAx>
        <c:axId val="1925964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62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Sheet1!$G$49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Sheet1!C51:C68</c:f>
              <c:numCache>
                <c:formatCode>General</c:formatCode>
                <c:ptCount val="18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700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5000</c:v>
                </c:pt>
                <c:pt idx="13">
                  <c:v>7000</c:v>
                </c:pt>
                <c:pt idx="14">
                  <c:v>10000</c:v>
                </c:pt>
                <c:pt idx="15">
                  <c:v>20000</c:v>
                </c:pt>
                <c:pt idx="16">
                  <c:v>30000</c:v>
                </c:pt>
                <c:pt idx="17">
                  <c:v>50000</c:v>
                </c:pt>
              </c:numCache>
            </c:numRef>
          </c:xVal>
          <c:yVal>
            <c:numRef>
              <c:f>Sheet1!G51:G68</c:f>
              <c:numCache>
                <c:formatCode>General</c:formatCode>
                <c:ptCount val="18"/>
                <c:pt idx="0">
                  <c:v>-12.120009476055213</c:v>
                </c:pt>
                <c:pt idx="1">
                  <c:v>-11.679006661193732</c:v>
                </c:pt>
                <c:pt idx="2">
                  <c:v>-11.722112901716429</c:v>
                </c:pt>
                <c:pt idx="3">
                  <c:v>-11.852730244895584</c:v>
                </c:pt>
                <c:pt idx="4">
                  <c:v>-11.940912622996684</c:v>
                </c:pt>
                <c:pt idx="5">
                  <c:v>-11.896709526894346</c:v>
                </c:pt>
                <c:pt idx="6">
                  <c:v>-11.852730244895584</c:v>
                </c:pt>
                <c:pt idx="7">
                  <c:v>-11.808972521932073</c:v>
                </c:pt>
                <c:pt idx="8">
                  <c:v>-11.808972521932073</c:v>
                </c:pt>
                <c:pt idx="9">
                  <c:v>-11.765434136846583</c:v>
                </c:pt>
                <c:pt idx="10">
                  <c:v>-11.808972521932073</c:v>
                </c:pt>
                <c:pt idx="11">
                  <c:v>-11.896709526894346</c:v>
                </c:pt>
                <c:pt idx="12">
                  <c:v>-12.074887869970732</c:v>
                </c:pt>
                <c:pt idx="13">
                  <c:v>-12.210962031069627</c:v>
                </c:pt>
                <c:pt idx="14">
                  <c:v>-12.349201919396226</c:v>
                </c:pt>
                <c:pt idx="15">
                  <c:v>-12.537012255517617</c:v>
                </c:pt>
                <c:pt idx="16">
                  <c:v>-12.537012255517617</c:v>
                </c:pt>
                <c:pt idx="17">
                  <c:v>-12.584606290424709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7A-4C66-A7A9-85A34A4BF23B}"/>
            </c:ext>
          </c:extLst>
        </c:ser>
        <c:ser>
          <c:idx val="1"/>
          <c:order val="1"/>
          <c:tx>
            <c:strRef>
              <c:f>Sheet1!$E$49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Sheet1!C51:C68</c:f>
              <c:numCache>
                <c:formatCode>General</c:formatCode>
                <c:ptCount val="18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700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5000</c:v>
                </c:pt>
                <c:pt idx="13">
                  <c:v>7000</c:v>
                </c:pt>
                <c:pt idx="14">
                  <c:v>10000</c:v>
                </c:pt>
                <c:pt idx="15">
                  <c:v>20000</c:v>
                </c:pt>
                <c:pt idx="16">
                  <c:v>30000</c:v>
                </c:pt>
                <c:pt idx="17">
                  <c:v>50000</c:v>
                </c:pt>
              </c:numCache>
            </c:numRef>
          </c:xVal>
          <c:yVal>
            <c:numRef>
              <c:f>Sheet1!E51:E68</c:f>
              <c:numCache>
                <c:formatCode>General</c:formatCode>
                <c:ptCount val="18"/>
                <c:pt idx="0">
                  <c:v>-14.322308681880724</c:v>
                </c:pt>
                <c:pt idx="1">
                  <c:v>-13.436355165848079</c:v>
                </c:pt>
                <c:pt idx="2">
                  <c:v>-12.826568722890073</c:v>
                </c:pt>
                <c:pt idx="3">
                  <c:v>-12.584606290424709</c:v>
                </c:pt>
                <c:pt idx="4">
                  <c:v>-12.302877064852609</c:v>
                </c:pt>
                <c:pt idx="5">
                  <c:v>-11.985341822875846</c:v>
                </c:pt>
                <c:pt idx="6">
                  <c:v>-11.896709526894346</c:v>
                </c:pt>
                <c:pt idx="7">
                  <c:v>-11.808972521932073</c:v>
                </c:pt>
                <c:pt idx="8">
                  <c:v>-11.808972521932073</c:v>
                </c:pt>
                <c:pt idx="9">
                  <c:v>-11.765434136846583</c:v>
                </c:pt>
                <c:pt idx="10">
                  <c:v>-11.852730244895584</c:v>
                </c:pt>
                <c:pt idx="11">
                  <c:v>-11.985341822875846</c:v>
                </c:pt>
                <c:pt idx="12">
                  <c:v>-12.302877064852609</c:v>
                </c:pt>
                <c:pt idx="13">
                  <c:v>-12.537012255517617</c:v>
                </c:pt>
                <c:pt idx="14">
                  <c:v>-12.777634003948325</c:v>
                </c:pt>
                <c:pt idx="15">
                  <c:v>-13.075465111975229</c:v>
                </c:pt>
                <c:pt idx="16">
                  <c:v>-13.12611184228313</c:v>
                </c:pt>
                <c:pt idx="17">
                  <c:v>-13.177055622560728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7A-4C66-A7A9-85A34A4BF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038536"/>
        <c:axId val="662040584"/>
      </c:scatterChart>
      <c:valAx>
        <c:axId val="662038536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40584"/>
        <c:crosses val="autoZero"/>
        <c:crossBetween val="midCat"/>
      </c:valAx>
      <c:valAx>
        <c:axId val="66204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38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2</xdr:row>
      <xdr:rowOff>161925</xdr:rowOff>
    </xdr:from>
    <xdr:to>
      <xdr:col>23</xdr:col>
      <xdr:colOff>171450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8809C6-E91B-992A-99BA-BC36D0DD8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49</xdr:row>
      <xdr:rowOff>47625</xdr:rowOff>
    </xdr:from>
    <xdr:to>
      <xdr:col>16</xdr:col>
      <xdr:colOff>304800</xdr:colOff>
      <xdr:row>63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C7D9CD-72A4-A05D-9BF0-DBCE4B59309C}"/>
            </a:ext>
            <a:ext uri="{147F2762-F138-4A5C-976F-8EAC2B608ADB}">
              <a16:predDERef xmlns:a16="http://schemas.microsoft.com/office/drawing/2014/main" pred="{BA8809C6-E91B-992A-99BA-BC36D0DD8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12"/>
  <sheetViews>
    <sheetView tabSelected="1" workbookViewId="0">
      <selection activeCell="I7" sqref="I7"/>
    </sheetView>
  </sheetViews>
  <sheetFormatPr defaultRowHeight="15"/>
  <sheetData>
    <row r="2" spans="2:13">
      <c r="B2" t="s">
        <v>0</v>
      </c>
    </row>
    <row r="3" spans="2:13">
      <c r="C3" s="1" t="s">
        <v>1</v>
      </c>
      <c r="D3" s="1" t="s">
        <v>2</v>
      </c>
      <c r="E3" s="1"/>
      <c r="F3" s="1"/>
      <c r="G3" s="1"/>
      <c r="H3" s="1"/>
      <c r="I3" s="1"/>
    </row>
    <row r="4" spans="2:13">
      <c r="C4" s="1"/>
      <c r="D4" s="1" t="s">
        <v>3</v>
      </c>
      <c r="E4" s="1"/>
      <c r="F4" s="1" t="s">
        <v>4</v>
      </c>
      <c r="G4" s="1"/>
      <c r="H4" s="1" t="s">
        <v>5</v>
      </c>
      <c r="I4" s="1"/>
      <c r="K4" t="s">
        <v>6</v>
      </c>
      <c r="L4">
        <v>775</v>
      </c>
      <c r="M4" t="s">
        <v>7</v>
      </c>
    </row>
    <row r="5" spans="2:13">
      <c r="C5" s="1"/>
      <c r="D5" t="s">
        <v>8</v>
      </c>
      <c r="E5" t="s">
        <v>9</v>
      </c>
      <c r="F5" t="s">
        <v>8</v>
      </c>
      <c r="G5" t="s">
        <v>9</v>
      </c>
      <c r="H5" t="s">
        <v>8</v>
      </c>
      <c r="I5" t="s">
        <v>9</v>
      </c>
    </row>
    <row r="6" spans="2:13">
      <c r="C6">
        <v>20</v>
      </c>
      <c r="D6">
        <v>553</v>
      </c>
      <c r="E6" s="2" cm="1">
        <f t="array" ref="E6:E23">20*LOG(D6:D23/L4)</f>
        <v>-2.931531424032241</v>
      </c>
      <c r="F6">
        <v>2450</v>
      </c>
      <c r="G6" s="2" cm="1">
        <f t="array" ref="G6:G23">20*LOG(F6:F23/L4)</f>
        <v>9.9972876371644439</v>
      </c>
      <c r="H6">
        <v>78</v>
      </c>
      <c r="I6" s="2" cm="1">
        <f t="array" ref="I6:I23">20*LOG(H6:H23/L4)</f>
        <v>-19.944141996316599</v>
      </c>
    </row>
    <row r="7" spans="2:13">
      <c r="C7">
        <v>30</v>
      </c>
      <c r="D7">
        <v>615</v>
      </c>
      <c r="E7" s="2">
        <v>-2.0085317346178706</v>
      </c>
      <c r="F7">
        <v>3540</v>
      </c>
      <c r="G7" s="2">
        <v>13.19403119038955</v>
      </c>
      <c r="H7">
        <v>92</v>
      </c>
      <c r="I7" s="2">
        <v>-18.5102775032151</v>
      </c>
    </row>
    <row r="8" spans="2:13">
      <c r="C8">
        <v>50</v>
      </c>
      <c r="D8">
        <v>666</v>
      </c>
      <c r="E8" s="2">
        <v>-1.3165494667201845</v>
      </c>
      <c r="F8">
        <v>4330</v>
      </c>
      <c r="G8" s="2">
        <v>14.943723876941101</v>
      </c>
      <c r="H8">
        <v>117</v>
      </c>
      <c r="I8" s="2">
        <v>-16.422316815202972</v>
      </c>
    </row>
    <row r="9" spans="2:13">
      <c r="C9">
        <v>70</v>
      </c>
      <c r="D9">
        <v>692</v>
      </c>
      <c r="E9" s="2">
        <v>-0.98391216099104939</v>
      </c>
      <c r="F9">
        <v>3960</v>
      </c>
      <c r="G9" s="2">
        <v>14.167869668384039</v>
      </c>
      <c r="H9">
        <v>145</v>
      </c>
      <c r="I9" s="2">
        <v>-14.558674005426708</v>
      </c>
    </row>
    <row r="10" spans="2:13">
      <c r="C10">
        <v>100</v>
      </c>
      <c r="D10">
        <v>717</v>
      </c>
      <c r="E10" s="2">
        <v>-0.67565093677020327</v>
      </c>
      <c r="F10">
        <v>3140</v>
      </c>
      <c r="G10" s="2">
        <v>12.152558911338094</v>
      </c>
      <c r="H10">
        <v>189</v>
      </c>
      <c r="I10" s="2">
        <v>-12.256797966661324</v>
      </c>
    </row>
    <row r="11" spans="2:13">
      <c r="C11">
        <v>200</v>
      </c>
      <c r="D11">
        <v>753</v>
      </c>
      <c r="E11" s="2">
        <v>-0.25013452611219467</v>
      </c>
      <c r="F11">
        <v>1750</v>
      </c>
      <c r="G11" s="2">
        <v>7.0747269235996839</v>
      </c>
      <c r="H11">
        <v>337</v>
      </c>
      <c r="I11" s="2">
        <v>-7.2334360326994336</v>
      </c>
    </row>
    <row r="12" spans="2:13">
      <c r="C12">
        <v>300</v>
      </c>
      <c r="D12">
        <v>765</v>
      </c>
      <c r="E12" s="2">
        <v>-0.11280534705385392</v>
      </c>
      <c r="F12">
        <v>1260</v>
      </c>
      <c r="G12" s="2">
        <v>4.2213768522250517</v>
      </c>
      <c r="H12">
        <v>468</v>
      </c>
      <c r="I12" s="2">
        <v>-4.3811169886437256</v>
      </c>
    </row>
    <row r="13" spans="2:13">
      <c r="C13">
        <v>500</v>
      </c>
      <c r="D13">
        <v>771</v>
      </c>
      <c r="E13" s="2">
        <v>-4.4946489107066029E-2</v>
      </c>
      <c r="F13">
        <v>911</v>
      </c>
      <c r="G13" s="2">
        <v>1.4043334893337596</v>
      </c>
      <c r="H13">
        <v>653</v>
      </c>
      <c r="I13" s="2">
        <v>-1.4877704246247279</v>
      </c>
    </row>
    <row r="14" spans="2:13">
      <c r="C14">
        <v>700</v>
      </c>
      <c r="D14">
        <v>774</v>
      </c>
      <c r="E14" s="2">
        <v>-1.1214836468354276E-2</v>
      </c>
      <c r="F14">
        <v>804</v>
      </c>
      <c r="G14" s="2">
        <v>0.31908692484281898</v>
      </c>
      <c r="H14">
        <v>745</v>
      </c>
      <c r="I14" s="2">
        <v>-0.34290859516034883</v>
      </c>
    </row>
    <row r="15" spans="2:13">
      <c r="C15">
        <v>1000</v>
      </c>
      <c r="D15">
        <v>775</v>
      </c>
      <c r="E15" s="2">
        <v>0</v>
      </c>
      <c r="F15">
        <v>775</v>
      </c>
      <c r="G15" s="2">
        <v>0</v>
      </c>
      <c r="H15">
        <v>775</v>
      </c>
      <c r="I15" s="2">
        <v>0</v>
      </c>
    </row>
    <row r="16" spans="2:13">
      <c r="C16">
        <v>2000</v>
      </c>
      <c r="D16">
        <v>769</v>
      </c>
      <c r="E16" s="2">
        <v>-6.7507254097584582E-2</v>
      </c>
      <c r="F16">
        <v>955</v>
      </c>
      <c r="G16" s="2">
        <v>1.8140333815487206</v>
      </c>
      <c r="H16">
        <v>619</v>
      </c>
      <c r="I16" s="2">
        <v>-1.9522210697238462</v>
      </c>
    </row>
    <row r="17" spans="2:9">
      <c r="C17">
        <v>3000</v>
      </c>
      <c r="D17">
        <v>758</v>
      </c>
      <c r="E17" s="2">
        <v>-0.19264993748513534</v>
      </c>
      <c r="F17">
        <v>1210</v>
      </c>
      <c r="G17" s="2">
        <v>3.8696733562027958</v>
      </c>
      <c r="H17">
        <v>473</v>
      </c>
      <c r="I17" s="2">
        <v>-4.2888112353699741</v>
      </c>
    </row>
    <row r="18" spans="2:9">
      <c r="C18">
        <v>5000</v>
      </c>
      <c r="D18">
        <v>732</v>
      </c>
      <c r="E18" s="2">
        <v>-0.49581242895836902</v>
      </c>
      <c r="F18">
        <v>1680</v>
      </c>
      <c r="G18" s="2">
        <v>6.7201515843910524</v>
      </c>
      <c r="H18">
        <v>319</v>
      </c>
      <c r="I18" s="2">
        <v>-7.7102203889825827</v>
      </c>
    </row>
    <row r="19" spans="2:9">
      <c r="C19">
        <v>7000</v>
      </c>
      <c r="D19">
        <v>711</v>
      </c>
      <c r="E19" s="2">
        <v>-0.74864203553088027</v>
      </c>
      <c r="F19">
        <v>2030</v>
      </c>
      <c r="G19" s="2">
        <v>8.3638867081380521</v>
      </c>
      <c r="H19">
        <v>249</v>
      </c>
      <c r="I19" s="2">
        <v>-9.8620471082114793</v>
      </c>
    </row>
    <row r="20" spans="2:9">
      <c r="C20">
        <v>10000</v>
      </c>
      <c r="D20">
        <v>692</v>
      </c>
      <c r="E20" s="2">
        <v>-0.98391216099104939</v>
      </c>
      <c r="F20">
        <v>2390</v>
      </c>
      <c r="G20" s="2">
        <v>9.7819239688365478</v>
      </c>
      <c r="H20">
        <v>201</v>
      </c>
      <c r="I20" s="2">
        <v>-11.722112901716429</v>
      </c>
    </row>
    <row r="21" spans="2:9">
      <c r="C21">
        <v>20000</v>
      </c>
      <c r="D21">
        <v>669</v>
      </c>
      <c r="E21" s="2">
        <v>-1.2775116947697431</v>
      </c>
      <c r="F21">
        <v>2860</v>
      </c>
      <c r="G21" s="2">
        <v>11.341286612454656</v>
      </c>
      <c r="H21">
        <v>158</v>
      </c>
      <c r="I21" s="2">
        <v>-13.812892311037754</v>
      </c>
    </row>
    <row r="22" spans="2:9">
      <c r="C22">
        <v>30000</v>
      </c>
      <c r="D22">
        <v>664</v>
      </c>
      <c r="E22" s="2">
        <v>-1.3426724627658557</v>
      </c>
      <c r="F22">
        <v>2990</v>
      </c>
      <c r="G22" s="2">
        <v>11.727389716362387</v>
      </c>
      <c r="H22">
        <v>149</v>
      </c>
      <c r="I22" s="2">
        <v>-14.322308681880724</v>
      </c>
    </row>
    <row r="23" spans="2:9">
      <c r="C23">
        <v>50000</v>
      </c>
      <c r="D23">
        <v>662</v>
      </c>
      <c r="E23" s="2">
        <v>-1.3688742613322067</v>
      </c>
      <c r="F23">
        <v>3070</v>
      </c>
      <c r="G23" s="2">
        <v>11.956733459417524</v>
      </c>
      <c r="H23">
        <v>144</v>
      </c>
      <c r="I23" s="2">
        <v>-14.618784208221211</v>
      </c>
    </row>
    <row r="29" spans="2:9">
      <c r="B29" t="s">
        <v>10</v>
      </c>
    </row>
    <row r="31" spans="2:9">
      <c r="D31" t="s">
        <v>2</v>
      </c>
    </row>
    <row r="32" spans="2:9">
      <c r="C32" t="s">
        <v>11</v>
      </c>
      <c r="D32" t="s">
        <v>8</v>
      </c>
      <c r="E32" t="s">
        <v>9</v>
      </c>
      <c r="F32" t="s">
        <v>12</v>
      </c>
      <c r="G32" t="s">
        <v>9</v>
      </c>
    </row>
    <row r="33" spans="2:7">
      <c r="C33">
        <v>1</v>
      </c>
      <c r="D33">
        <v>1.4E-2</v>
      </c>
      <c r="E33" cm="1">
        <f t="array" ref="E33:E43">20*LOG(D33:D43/L4)</f>
        <v>-94.863473336561441</v>
      </c>
      <c r="F33">
        <v>1.2999999999999999E-2</v>
      </c>
      <c r="G33" cm="1">
        <f t="array" ref="G33:G43">20*LOG(F33:F43/L4)</f>
        <v>-95.50716700398948</v>
      </c>
    </row>
    <row r="34" spans="2:7">
      <c r="C34">
        <v>2</v>
      </c>
      <c r="D34">
        <v>2.0299999999999998</v>
      </c>
      <c r="E34">
        <v>-51.636113291861953</v>
      </c>
      <c r="F34">
        <v>0.104</v>
      </c>
      <c r="G34">
        <v>-77.445367264150605</v>
      </c>
    </row>
    <row r="35" spans="2:7">
      <c r="C35">
        <v>3</v>
      </c>
      <c r="D35">
        <v>7.79</v>
      </c>
      <c r="E35">
        <v>-39.955284896674918</v>
      </c>
      <c r="F35">
        <v>0.57899999999999996</v>
      </c>
      <c r="G35">
        <v>-62.532462775577486</v>
      </c>
    </row>
    <row r="36" spans="2:7">
      <c r="C36">
        <v>4</v>
      </c>
      <c r="D36">
        <v>53.3</v>
      </c>
      <c r="E36">
        <v>-23.25148986959476</v>
      </c>
      <c r="F36">
        <v>386</v>
      </c>
      <c r="G36">
        <v>-6.0542879566911072</v>
      </c>
    </row>
    <row r="37" spans="2:7">
      <c r="C37">
        <v>5</v>
      </c>
      <c r="D37">
        <v>121</v>
      </c>
      <c r="E37">
        <v>-16.130326643797204</v>
      </c>
      <c r="F37">
        <v>8.76</v>
      </c>
      <c r="G37">
        <v>-38.935951926764588</v>
      </c>
    </row>
    <row r="38" spans="2:7">
      <c r="C38">
        <v>6</v>
      </c>
      <c r="D38">
        <v>194</v>
      </c>
      <c r="E38">
        <v>-12.029999451521684</v>
      </c>
      <c r="F38">
        <v>14.5</v>
      </c>
      <c r="G38">
        <v>-34.55867400542671</v>
      </c>
    </row>
    <row r="39" spans="2:7">
      <c r="C39">
        <v>7</v>
      </c>
      <c r="D39">
        <v>245</v>
      </c>
      <c r="E39">
        <v>-10.002712362835558</v>
      </c>
      <c r="F39">
        <v>54.9</v>
      </c>
      <c r="G39">
        <v>-22.994587161124368</v>
      </c>
    </row>
    <row r="40" spans="2:7">
      <c r="C40">
        <v>8</v>
      </c>
      <c r="D40">
        <v>342</v>
      </c>
      <c r="E40">
        <v>-7.1055119290035051</v>
      </c>
      <c r="F40">
        <v>183</v>
      </c>
      <c r="G40">
        <v>-12.537012255517617</v>
      </c>
    </row>
    <row r="41" spans="2:7">
      <c r="C41">
        <v>9</v>
      </c>
      <c r="D41">
        <v>595</v>
      </c>
      <c r="E41">
        <v>-2.2956947355552151</v>
      </c>
      <c r="F41">
        <v>479</v>
      </c>
      <c r="G41">
        <v>-4.1793237818349418</v>
      </c>
    </row>
    <row r="42" spans="2:7">
      <c r="C42">
        <v>10</v>
      </c>
      <c r="D42">
        <v>866</v>
      </c>
      <c r="E42">
        <v>0.96432379022072701</v>
      </c>
      <c r="F42">
        <v>805</v>
      </c>
      <c r="G42">
        <v>0.32988355723116536</v>
      </c>
    </row>
    <row r="43" spans="2:7">
      <c r="C43">
        <v>11</v>
      </c>
      <c r="D43">
        <v>932</v>
      </c>
      <c r="E43">
        <v>1.6022841969534218</v>
      </c>
      <c r="F43">
        <v>914</v>
      </c>
      <c r="G43">
        <v>1.4328898645504231</v>
      </c>
    </row>
    <row r="46" spans="2:7">
      <c r="B46" t="s">
        <v>13</v>
      </c>
    </row>
    <row r="49" spans="3:7">
      <c r="D49" t="s">
        <v>14</v>
      </c>
      <c r="F49" t="s">
        <v>15</v>
      </c>
    </row>
    <row r="50" spans="3:7">
      <c r="C50" t="s">
        <v>1</v>
      </c>
      <c r="D50" t="s">
        <v>8</v>
      </c>
      <c r="E50" t="s">
        <v>9</v>
      </c>
      <c r="F50" t="s">
        <v>8</v>
      </c>
      <c r="G50" t="s">
        <v>9</v>
      </c>
    </row>
    <row r="51" spans="3:7">
      <c r="C51">
        <v>20</v>
      </c>
      <c r="D51">
        <v>149</v>
      </c>
      <c r="E51" cm="1">
        <f t="array" ref="E51:E68">20*LOG(D51:D68/L4)</f>
        <v>-14.322308681880724</v>
      </c>
      <c r="F51">
        <v>192</v>
      </c>
      <c r="G51" cm="1">
        <f t="array" ref="G51:G68">20*LOG(F51:F68/L4)</f>
        <v>-12.120009476055213</v>
      </c>
    </row>
    <row r="52" spans="3:7">
      <c r="C52">
        <v>30</v>
      </c>
      <c r="D52">
        <v>165</v>
      </c>
      <c r="E52">
        <v>-13.436355165848079</v>
      </c>
      <c r="F52">
        <v>202</v>
      </c>
      <c r="G52">
        <v>-11.679006661193732</v>
      </c>
    </row>
    <row r="53" spans="3:7">
      <c r="C53">
        <v>50</v>
      </c>
      <c r="D53">
        <v>177</v>
      </c>
      <c r="E53">
        <v>-12.826568722890073</v>
      </c>
      <c r="F53">
        <v>201</v>
      </c>
      <c r="G53">
        <v>-11.722112901716429</v>
      </c>
    </row>
    <row r="54" spans="3:7">
      <c r="C54">
        <v>70</v>
      </c>
      <c r="D54">
        <v>182</v>
      </c>
      <c r="E54">
        <v>-12.584606290424709</v>
      </c>
      <c r="F54">
        <v>198</v>
      </c>
      <c r="G54">
        <v>-11.852730244895584</v>
      </c>
    </row>
    <row r="55" spans="3:7">
      <c r="C55">
        <v>100</v>
      </c>
      <c r="D55">
        <v>188</v>
      </c>
      <c r="E55">
        <v>-12.302877064852609</v>
      </c>
      <c r="F55">
        <v>196</v>
      </c>
      <c r="G55">
        <v>-11.940912622996684</v>
      </c>
    </row>
    <row r="56" spans="3:7">
      <c r="C56">
        <v>200</v>
      </c>
      <c r="D56">
        <v>195</v>
      </c>
      <c r="E56">
        <v>-11.985341822875846</v>
      </c>
      <c r="F56">
        <v>197</v>
      </c>
      <c r="G56">
        <v>-11.896709526894346</v>
      </c>
    </row>
    <row r="57" spans="3:7">
      <c r="C57">
        <v>300</v>
      </c>
      <c r="D57">
        <v>197</v>
      </c>
      <c r="E57">
        <v>-11.896709526894346</v>
      </c>
      <c r="F57">
        <v>198</v>
      </c>
      <c r="G57">
        <v>-11.852730244895584</v>
      </c>
    </row>
    <row r="58" spans="3:7">
      <c r="C58">
        <v>500</v>
      </c>
      <c r="D58">
        <v>199</v>
      </c>
      <c r="E58">
        <v>-11.808972521932073</v>
      </c>
      <c r="F58">
        <v>199</v>
      </c>
      <c r="G58">
        <v>-11.808972521932073</v>
      </c>
    </row>
    <row r="59" spans="3:7">
      <c r="C59">
        <v>700</v>
      </c>
      <c r="D59">
        <v>199</v>
      </c>
      <c r="E59">
        <v>-11.808972521932073</v>
      </c>
      <c r="F59">
        <v>199</v>
      </c>
      <c r="G59">
        <v>-11.808972521932073</v>
      </c>
    </row>
    <row r="60" spans="3:7">
      <c r="C60">
        <v>1000</v>
      </c>
      <c r="D60">
        <v>200</v>
      </c>
      <c r="E60">
        <v>-11.765434136846583</v>
      </c>
      <c r="F60">
        <v>200</v>
      </c>
      <c r="G60">
        <v>-11.765434136846583</v>
      </c>
    </row>
    <row r="61" spans="3:7">
      <c r="C61">
        <v>2000</v>
      </c>
      <c r="D61">
        <v>198</v>
      </c>
      <c r="E61">
        <v>-11.852730244895584</v>
      </c>
      <c r="F61">
        <v>199</v>
      </c>
      <c r="G61">
        <v>-11.808972521932073</v>
      </c>
    </row>
    <row r="62" spans="3:7">
      <c r="C62">
        <v>3000</v>
      </c>
      <c r="D62">
        <v>195</v>
      </c>
      <c r="E62">
        <v>-11.985341822875846</v>
      </c>
      <c r="F62">
        <v>197</v>
      </c>
      <c r="G62">
        <v>-11.896709526894346</v>
      </c>
    </row>
    <row r="63" spans="3:7">
      <c r="C63">
        <v>5000</v>
      </c>
      <c r="D63">
        <v>188</v>
      </c>
      <c r="E63">
        <v>-12.302877064852609</v>
      </c>
      <c r="F63">
        <v>193</v>
      </c>
      <c r="G63">
        <v>-12.074887869970732</v>
      </c>
    </row>
    <row r="64" spans="3:7">
      <c r="C64">
        <v>7000</v>
      </c>
      <c r="D64">
        <v>183</v>
      </c>
      <c r="E64">
        <v>-12.537012255517617</v>
      </c>
      <c r="F64">
        <v>190</v>
      </c>
      <c r="G64">
        <v>-12.210962031069627</v>
      </c>
    </row>
    <row r="65" spans="2:7">
      <c r="C65">
        <v>10000</v>
      </c>
      <c r="D65">
        <v>178</v>
      </c>
      <c r="E65">
        <v>-12.777634003948325</v>
      </c>
      <c r="F65">
        <v>187</v>
      </c>
      <c r="G65">
        <v>-12.349201919396226</v>
      </c>
    </row>
    <row r="66" spans="2:7">
      <c r="C66">
        <v>20000</v>
      </c>
      <c r="D66">
        <v>172</v>
      </c>
      <c r="E66">
        <v>-13.075465111975229</v>
      </c>
      <c r="F66">
        <v>183</v>
      </c>
      <c r="G66">
        <v>-12.537012255517617</v>
      </c>
    </row>
    <row r="67" spans="2:7">
      <c r="C67">
        <v>30000</v>
      </c>
      <c r="D67">
        <v>171</v>
      </c>
      <c r="E67">
        <v>-13.12611184228313</v>
      </c>
      <c r="F67">
        <v>183</v>
      </c>
      <c r="G67">
        <v>-12.537012255517617</v>
      </c>
    </row>
    <row r="68" spans="2:7">
      <c r="C68">
        <v>50000</v>
      </c>
      <c r="D68">
        <v>170</v>
      </c>
      <c r="E68">
        <v>-13.177055622560728</v>
      </c>
      <c r="F68">
        <v>182</v>
      </c>
      <c r="G68">
        <v>-12.584606290424709</v>
      </c>
    </row>
    <row r="72" spans="2:7">
      <c r="B72" t="s">
        <v>16</v>
      </c>
    </row>
    <row r="74" spans="2:7">
      <c r="D74" t="s">
        <v>17</v>
      </c>
      <c r="F74" t="s">
        <v>18</v>
      </c>
    </row>
    <row r="75" spans="2:7">
      <c r="C75" t="s">
        <v>19</v>
      </c>
      <c r="D75" t="s">
        <v>20</v>
      </c>
      <c r="E75" t="s">
        <v>9</v>
      </c>
      <c r="F75" t="s">
        <v>21</v>
      </c>
      <c r="G75" t="s">
        <v>9</v>
      </c>
    </row>
    <row r="76" spans="2:7">
      <c r="C76">
        <v>-5</v>
      </c>
      <c r="D76">
        <v>797</v>
      </c>
      <c r="E76" cm="1">
        <f t="array" ref="E76:E86">20*LOG(D76:D86/L4)</f>
        <v>0.24313237779604063</v>
      </c>
      <c r="F76">
        <v>213</v>
      </c>
      <c r="G76" cm="1">
        <f t="array" ref="G76:G86">20*LOG(F76:F86/L4)</f>
        <v>-11.21844198135145</v>
      </c>
    </row>
    <row r="77" spans="2:7">
      <c r="C77">
        <v>-4</v>
      </c>
      <c r="D77">
        <v>797</v>
      </c>
      <c r="E77">
        <v>0.24313237779604063</v>
      </c>
      <c r="F77">
        <v>481</v>
      </c>
      <c r="G77">
        <v>-4.1431325226495712</v>
      </c>
    </row>
    <row r="78" spans="2:7">
      <c r="C78">
        <v>-3</v>
      </c>
      <c r="D78">
        <v>797</v>
      </c>
      <c r="E78">
        <v>0.24313237779604063</v>
      </c>
      <c r="F78">
        <v>679</v>
      </c>
      <c r="G78">
        <v>-1.1486385645161725</v>
      </c>
    </row>
    <row r="79" spans="2:7">
      <c r="C79">
        <v>-2</v>
      </c>
      <c r="D79">
        <v>788</v>
      </c>
      <c r="E79">
        <v>0.14449029966490112</v>
      </c>
      <c r="F79">
        <v>733</v>
      </c>
      <c r="G79">
        <v>-0.48395455730364695</v>
      </c>
    </row>
    <row r="80" spans="2:7">
      <c r="C80">
        <v>-1</v>
      </c>
      <c r="D80">
        <v>782</v>
      </c>
      <c r="E80">
        <v>7.8101011070754275E-2</v>
      </c>
      <c r="F80">
        <v>759</v>
      </c>
      <c r="G80">
        <v>-0.18119853221659851</v>
      </c>
    </row>
    <row r="81" spans="2:7">
      <c r="C81">
        <v>0</v>
      </c>
      <c r="D81">
        <v>775</v>
      </c>
      <c r="E81">
        <v>0</v>
      </c>
      <c r="F81">
        <v>775</v>
      </c>
      <c r="G81">
        <v>0</v>
      </c>
    </row>
    <row r="82" spans="2:7">
      <c r="C82">
        <v>1</v>
      </c>
      <c r="D82">
        <v>762</v>
      </c>
      <c r="E82">
        <v>-0.14693462333419544</v>
      </c>
      <c r="F82">
        <v>787</v>
      </c>
      <c r="G82">
        <v>0.13346059705508456</v>
      </c>
    </row>
    <row r="83" spans="2:7">
      <c r="C83">
        <v>2</v>
      </c>
      <c r="D83">
        <v>741</v>
      </c>
      <c r="E83">
        <v>-0.38966989053964202</v>
      </c>
      <c r="F83">
        <v>795</v>
      </c>
      <c r="G83">
        <v>0.22130852300320053</v>
      </c>
    </row>
    <row r="84" spans="2:7">
      <c r="C84">
        <v>3</v>
      </c>
      <c r="D84">
        <v>699</v>
      </c>
      <c r="E84">
        <v>-0.89649053521257727</v>
      </c>
      <c r="F84">
        <v>800</v>
      </c>
      <c r="G84">
        <v>0.27576568971266568</v>
      </c>
    </row>
    <row r="85" spans="2:7">
      <c r="C85">
        <v>4</v>
      </c>
      <c r="D85">
        <v>580</v>
      </c>
      <c r="E85">
        <v>-2.5174741788674599</v>
      </c>
      <c r="F85">
        <v>80</v>
      </c>
      <c r="G85">
        <v>-19.724234310287333</v>
      </c>
    </row>
    <row r="86" spans="2:7">
      <c r="C86">
        <v>5</v>
      </c>
      <c r="D86">
        <v>210</v>
      </c>
      <c r="E86">
        <v>-11.341648155447819</v>
      </c>
      <c r="F86">
        <v>808</v>
      </c>
      <c r="G86">
        <v>0.36219316536551666</v>
      </c>
    </row>
    <row r="89" spans="2:7">
      <c r="B89" t="s">
        <v>22</v>
      </c>
    </row>
    <row r="92" spans="2:7">
      <c r="D92" t="s">
        <v>23</v>
      </c>
      <c r="F92" t="s">
        <v>24</v>
      </c>
    </row>
    <row r="93" spans="2:7">
      <c r="C93" t="s">
        <v>1</v>
      </c>
      <c r="D93" t="s">
        <v>21</v>
      </c>
      <c r="E93" t="s">
        <v>25</v>
      </c>
      <c r="F93" t="s">
        <v>20</v>
      </c>
      <c r="G93" t="s">
        <v>25</v>
      </c>
    </row>
    <row r="94" spans="2:7">
      <c r="C94">
        <v>100</v>
      </c>
      <c r="D94">
        <v>0.92300000000000004</v>
      </c>
      <c r="E94" cm="1">
        <f t="array" ref="E94:E96">20*LOG(D94:D96/L4)</f>
        <v>-58.48200002960796</v>
      </c>
      <c r="F94">
        <v>0.97699999999999998</v>
      </c>
      <c r="G94" cm="1">
        <f t="array" ref="G94:G96">20*LOG(F94:F96/L4)</f>
        <v>-57.988142775750745</v>
      </c>
    </row>
    <row r="95" spans="2:7">
      <c r="C95">
        <v>1000</v>
      </c>
      <c r="D95">
        <v>0.96499999999999997</v>
      </c>
      <c r="E95">
        <v>-58.095487783250348</v>
      </c>
      <c r="F95">
        <v>1.04</v>
      </c>
      <c r="G95">
        <v>-57.445367264150597</v>
      </c>
    </row>
    <row r="96" spans="2:7">
      <c r="C96">
        <v>10000</v>
      </c>
      <c r="D96">
        <v>0.81499999999999995</v>
      </c>
      <c r="E96">
        <v>-59.562881875326674</v>
      </c>
      <c r="F96">
        <v>1.1000000000000001</v>
      </c>
      <c r="G96">
        <v>-56.958180346961704</v>
      </c>
    </row>
    <row r="99" spans="2:7">
      <c r="B99" t="s">
        <v>26</v>
      </c>
    </row>
    <row r="101" spans="2:7">
      <c r="C101" t="s">
        <v>27</v>
      </c>
      <c r="D101">
        <v>29</v>
      </c>
      <c r="E101" t="s">
        <v>28</v>
      </c>
    </row>
    <row r="102" spans="2:7">
      <c r="C102" t="s">
        <v>29</v>
      </c>
      <c r="D102">
        <v>29</v>
      </c>
      <c r="E102" t="s">
        <v>28</v>
      </c>
    </row>
    <row r="107" spans="2:7">
      <c r="B107" t="s">
        <v>30</v>
      </c>
    </row>
    <row r="110" spans="2:7">
      <c r="C110" t="s">
        <v>31</v>
      </c>
      <c r="D110" t="s">
        <v>8</v>
      </c>
      <c r="E110" t="s">
        <v>32</v>
      </c>
      <c r="F110" t="s">
        <v>33</v>
      </c>
      <c r="G110" t="s">
        <v>34</v>
      </c>
    </row>
    <row r="111" spans="2:7">
      <c r="C111" t="s">
        <v>35</v>
      </c>
      <c r="D111">
        <v>775</v>
      </c>
      <c r="E111" t="s">
        <v>36</v>
      </c>
      <c r="F111">
        <v>2.3E-3</v>
      </c>
      <c r="G111">
        <v>2.2000000000000001E-3</v>
      </c>
    </row>
    <row r="112" spans="2:7">
      <c r="C112" t="s">
        <v>37</v>
      </c>
      <c r="D112">
        <v>775</v>
      </c>
      <c r="E112">
        <v>7.4999999999999997E-3</v>
      </c>
      <c r="F112">
        <v>2.3E-3</v>
      </c>
      <c r="G112">
        <v>2.5000000000000001E-3</v>
      </c>
    </row>
  </sheetData>
  <mergeCells count="5">
    <mergeCell ref="D3:I3"/>
    <mergeCell ref="D4:E4"/>
    <mergeCell ref="F4:G4"/>
    <mergeCell ref="H4:I4"/>
    <mergeCell ref="C3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2026-02-24T10:25:22Z</dcterms:created>
  <dcterms:modified xsi:type="dcterms:W3CDTF">2026-03-02T19:00:25Z</dcterms:modified>
  <cp:category/>
  <cp:contentStatus/>
</cp:coreProperties>
</file>