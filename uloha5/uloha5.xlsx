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79E6253A-B74C-459C-AF12-11382688E0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D23" i="1"/>
  <c r="F4" i="1" a="1"/>
  <c r="F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<sst xmlns="http://schemas.openxmlformats.org/spreadsheetml/2006/main" count="22" uniqueCount="16">
  <si>
    <t>1.</t>
  </si>
  <si>
    <t>f (Hz)</t>
  </si>
  <si>
    <t>U2rms (V)</t>
  </si>
  <si>
    <t>Au (-)</t>
  </si>
  <si>
    <t>Audb (dB)</t>
  </si>
  <si>
    <t>U1 =</t>
  </si>
  <si>
    <t>V</t>
  </si>
  <si>
    <t>4.</t>
  </si>
  <si>
    <t>MAX</t>
  </si>
  <si>
    <t>MIN</t>
  </si>
  <si>
    <t>ton =</t>
  </si>
  <si>
    <t>us</t>
  </si>
  <si>
    <t>tcelk =</t>
  </si>
  <si>
    <t>smax =</t>
  </si>
  <si>
    <t>%</t>
  </si>
  <si>
    <t>smin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</si>
</sst>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Audb (dB)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Sheet1!$C$4:$C$18</c:f>
              <c:numCache>
                <c:formatCode>#,##0</c:formatCode>
                <c:ptCount val="1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500</c:v>
                </c:pt>
                <c:pt idx="5">
                  <c:v>700</c:v>
                </c:pt>
                <c:pt idx="6">
                  <c:v>1000</c:v>
                </c:pt>
                <c:pt idx="7">
                  <c:v>2000</c:v>
                </c:pt>
                <c:pt idx="8">
                  <c:v>3000</c:v>
                </c:pt>
                <c:pt idx="9">
                  <c:v>5000</c:v>
                </c:pt>
                <c:pt idx="10">
                  <c:v>7000</c:v>
                </c:pt>
                <c:pt idx="11">
                  <c:v>8000</c:v>
                </c:pt>
                <c:pt idx="12">
                  <c:v>9000</c:v>
                </c:pt>
                <c:pt idx="13">
                  <c:v>10000</c:v>
                </c:pt>
                <c:pt idx="14">
                  <c:v>11000</c:v>
                </c:pt>
              </c:numCache>
            </c:numRef>
          </c:xVal>
          <c:yVal>
            <c:numRef>
              <c:f>Sheet1!$F$4:$F$18</c:f>
              <c:numCache>
                <c:formatCode>General</c:formatCode>
                <c:ptCount val="15"/>
                <c:pt idx="0">
                  <c:v>15.735028442911222</c:v>
                </c:pt>
                <c:pt idx="1">
                  <c:v>15.79161424328851</c:v>
                </c:pt>
                <c:pt idx="2">
                  <c:v>15.903691793648481</c:v>
                </c:pt>
                <c:pt idx="3">
                  <c:v>16.069142312968278</c:v>
                </c:pt>
                <c:pt idx="4">
                  <c:v>16.417159788793999</c:v>
                </c:pt>
                <c:pt idx="5">
                  <c:v>16.827189409097098</c:v>
                </c:pt>
                <c:pt idx="6">
                  <c:v>17.098260446157113</c:v>
                </c:pt>
                <c:pt idx="7">
                  <c:v>17.501225267834002</c:v>
                </c:pt>
                <c:pt idx="8">
                  <c:v>17.639099426792011</c:v>
                </c:pt>
                <c:pt idx="9">
                  <c:v>17.33755628674998</c:v>
                </c:pt>
                <c:pt idx="10">
                  <c:v>15.763367422823354</c:v>
                </c:pt>
                <c:pt idx="11">
                  <c:v>14.615645513327784</c:v>
                </c:pt>
                <c:pt idx="12">
                  <c:v>13.367718333800003</c:v>
                </c:pt>
                <c:pt idx="13">
                  <c:v>12.127627302212098</c:v>
                </c:pt>
                <c:pt idx="14">
                  <c:v>10.831584878931618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B2-4EAA-A549-FCAED3BCE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2039"/>
        <c:axId val="1530265608"/>
      </c:scatterChart>
      <c:valAx>
        <c:axId val="2412039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265608"/>
        <c:crosses val="autoZero"/>
        <c:crossBetween val="midCat"/>
      </c:valAx>
      <c:valAx>
        <c:axId val="153026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2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1</xdr:row>
      <xdr:rowOff>142875</xdr:rowOff>
    </xdr:from>
    <xdr:to>
      <xdr:col>17</xdr:col>
      <xdr:colOff>285750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C22F7-45AC-1331-EA3F-4A128CCF6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3"/>
  <sheetViews>
    <sheetView tabSelected="1" workbookViewId="0">
      <selection activeCell="C3" sqref="C3:F17"/>
    </sheetView>
  </sheetViews>
  <sheetFormatPr defaultRowHeight="15"/>
  <sheetData>
    <row r="2" spans="2:10">
      <c r="B2" t="s">
        <v>0</v>
      </c>
    </row>
    <row r="3" spans="2:10">
      <c r="C3" t="s">
        <v>1</v>
      </c>
      <c r="D3" t="s">
        <v>2</v>
      </c>
      <c r="E3" t="s">
        <v>3</v>
      </c>
      <c r="F3" t="s">
        <v>4</v>
      </c>
      <c r="H3" t="s">
        <v>5</v>
      </c>
      <c r="I3">
        <v>0.5</v>
      </c>
      <c r="J3" t="s">
        <v>6</v>
      </c>
    </row>
    <row r="4" spans="2:10">
      <c r="C4" s="1">
        <v>50</v>
      </c>
      <c r="D4">
        <v>3.06</v>
      </c>
      <c r="E4" cm="1">
        <f t="array" ref="E4:E18">D4:D18/I3</f>
        <v>6.12</v>
      </c>
      <c r="F4" cm="1">
        <f t="array" ref="F4:F18">20*LOG(D4:D18/I3)</f>
        <v>15.735028442911222</v>
      </c>
    </row>
    <row r="5" spans="2:10">
      <c r="C5" s="1">
        <v>100</v>
      </c>
      <c r="D5">
        <v>3.08</v>
      </c>
      <c r="E5">
        <v>6.16</v>
      </c>
      <c r="F5">
        <v>15.79161424328851</v>
      </c>
    </row>
    <row r="6" spans="2:10">
      <c r="C6" s="1">
        <v>200</v>
      </c>
      <c r="D6">
        <v>3.12</v>
      </c>
      <c r="E6">
        <v>6.24</v>
      </c>
      <c r="F6">
        <v>15.903691793648481</v>
      </c>
    </row>
    <row r="7" spans="2:10">
      <c r="C7" s="1">
        <v>300</v>
      </c>
      <c r="D7">
        <v>3.18</v>
      </c>
      <c r="E7">
        <v>6.36</v>
      </c>
      <c r="F7">
        <v>16.069142312968278</v>
      </c>
    </row>
    <row r="8" spans="2:10">
      <c r="C8" s="1">
        <v>500</v>
      </c>
      <c r="D8">
        <v>3.31</v>
      </c>
      <c r="E8">
        <v>6.62</v>
      </c>
      <c r="F8">
        <v>16.417159788793999</v>
      </c>
    </row>
    <row r="9" spans="2:10">
      <c r="C9" s="1">
        <v>700</v>
      </c>
      <c r="D9">
        <v>3.47</v>
      </c>
      <c r="E9">
        <v>6.94</v>
      </c>
      <c r="F9">
        <v>16.827189409097098</v>
      </c>
    </row>
    <row r="10" spans="2:10">
      <c r="C10" s="1">
        <v>1000</v>
      </c>
      <c r="D10">
        <v>3.58</v>
      </c>
      <c r="E10">
        <v>7.16</v>
      </c>
      <c r="F10">
        <v>17.098260446157113</v>
      </c>
    </row>
    <row r="11" spans="2:10">
      <c r="C11" s="1">
        <v>2000</v>
      </c>
      <c r="D11">
        <v>3.75</v>
      </c>
      <c r="E11">
        <v>7.5</v>
      </c>
      <c r="F11">
        <v>17.501225267834002</v>
      </c>
    </row>
    <row r="12" spans="2:10">
      <c r="C12" s="1">
        <v>3000</v>
      </c>
      <c r="D12">
        <v>3.81</v>
      </c>
      <c r="E12">
        <v>7.62</v>
      </c>
      <c r="F12">
        <v>17.639099426792011</v>
      </c>
    </row>
    <row r="13" spans="2:10">
      <c r="C13" s="1">
        <v>5000</v>
      </c>
      <c r="D13">
        <v>3.68</v>
      </c>
      <c r="E13">
        <v>7.36</v>
      </c>
      <c r="F13">
        <v>17.33755628674998</v>
      </c>
    </row>
    <row r="14" spans="2:10">
      <c r="C14" s="1">
        <v>7000</v>
      </c>
      <c r="D14">
        <v>3.07</v>
      </c>
      <c r="E14">
        <v>6.14</v>
      </c>
      <c r="F14">
        <v>15.763367422823354</v>
      </c>
    </row>
    <row r="15" spans="2:10">
      <c r="C15" s="1">
        <v>8000</v>
      </c>
      <c r="D15">
        <v>2.69</v>
      </c>
      <c r="E15">
        <v>5.38</v>
      </c>
      <c r="F15">
        <v>14.615645513327784</v>
      </c>
    </row>
    <row r="16" spans="2:10">
      <c r="C16" s="1">
        <v>9000</v>
      </c>
      <c r="D16">
        <v>2.33</v>
      </c>
      <c r="E16">
        <v>4.66</v>
      </c>
      <c r="F16">
        <v>13.367718333800003</v>
      </c>
    </row>
    <row r="17" spans="2:9">
      <c r="C17" s="1">
        <v>10000</v>
      </c>
      <c r="D17">
        <v>2.02</v>
      </c>
      <c r="E17">
        <v>4.04</v>
      </c>
      <c r="F17">
        <v>12.127627302212098</v>
      </c>
    </row>
    <row r="18" spans="2:9">
      <c r="C18" s="1">
        <v>11000</v>
      </c>
      <c r="D18">
        <v>1.74</v>
      </c>
      <c r="E18">
        <v>3.48</v>
      </c>
      <c r="F18">
        <v>10.831584878931618</v>
      </c>
    </row>
    <row r="20" spans="2:9">
      <c r="B20" t="s">
        <v>7</v>
      </c>
      <c r="C20" t="s">
        <v>8</v>
      </c>
      <c r="G20" t="s">
        <v>9</v>
      </c>
    </row>
    <row r="21" spans="2:9">
      <c r="C21" t="s">
        <v>10</v>
      </c>
      <c r="D21">
        <v>28</v>
      </c>
      <c r="E21" t="s">
        <v>11</v>
      </c>
      <c r="G21" t="s">
        <v>10</v>
      </c>
      <c r="H21">
        <v>5</v>
      </c>
      <c r="I21" t="s">
        <v>11</v>
      </c>
    </row>
    <row r="22" spans="2:9">
      <c r="C22" t="s">
        <v>12</v>
      </c>
      <c r="D22">
        <v>32</v>
      </c>
      <c r="E22" t="s">
        <v>11</v>
      </c>
      <c r="G22" t="s">
        <v>12</v>
      </c>
      <c r="H22">
        <v>32</v>
      </c>
      <c r="I22" t="s">
        <v>11</v>
      </c>
    </row>
    <row r="23" spans="2:9">
      <c r="C23" t="s">
        <v>13</v>
      </c>
      <c r="D23">
        <f>D21/D22*100</f>
        <v>87.5</v>
      </c>
      <c r="E23" t="s">
        <v>14</v>
      </c>
      <c r="G23" t="s">
        <v>15</v>
      </c>
      <c r="H23">
        <f>H21/H22*100</f>
        <v>15.625</v>
      </c>
      <c r="I23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2026-03-17T10:04:11Z</dcterms:created>
  <dcterms:modified xsi:type="dcterms:W3CDTF">2026-03-17T13:14:35Z</dcterms:modified>
  <cp:category/>
  <cp:contentStatus/>
</cp:coreProperties>
</file>